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monoem/Documents/Documents/Ramon/My_Project/dailyexpensereport/"/>
    </mc:Choice>
  </mc:AlternateContent>
  <xr:revisionPtr revIDLastSave="0" documentId="13_ncr:1_{5ABF58F9-29D1-6340-A6D0-AEF410B73357}" xr6:coauthVersionLast="47" xr6:coauthVersionMax="47" xr10:uidLastSave="{00000000-0000-0000-0000-000000000000}"/>
  <bookViews>
    <workbookView xWindow="0" yWindow="760" windowWidth="29040" windowHeight="15720" firstSheet="1" activeTab="1" xr2:uid="{E3F390A6-9E80-437F-9A37-821C49911DB4}"/>
  </bookViews>
  <sheets>
    <sheet name="Break Down List for Jee" sheetId="2" r:id="rId1"/>
    <sheet name="Daily Expense on Jan-2026" sheetId="1" r:id="rId2"/>
    <sheet name="Daily Expense on Feb-2026" sheetId="3" r:id="rId3"/>
    <sheet name="Daily Expense on Mar-2026" sheetId="4" r:id="rId4"/>
    <sheet name="Daily Expense on Apr-2026" sheetId="5" r:id="rId5"/>
    <sheet name="Daily Expense on May-2026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C3" i="3" s="1"/>
  <c r="U21" i="3"/>
  <c r="C21" i="3" s="1"/>
  <c r="C19" i="3"/>
  <c r="C18" i="3"/>
  <c r="U20" i="3"/>
  <c r="C20" i="3" s="1"/>
  <c r="T18" i="3"/>
  <c r="U19" i="3"/>
  <c r="U17" i="3"/>
  <c r="C17" i="3" s="1"/>
  <c r="T16" i="3"/>
  <c r="C32" i="6"/>
  <c r="R32" i="6"/>
  <c r="R31" i="6"/>
  <c r="C31" i="6"/>
  <c r="R30" i="6"/>
  <c r="C30" i="6"/>
  <c r="R29" i="6"/>
  <c r="C29" i="6"/>
  <c r="Q28" i="6"/>
  <c r="R27" i="6"/>
  <c r="R26" i="6"/>
  <c r="Q25" i="6"/>
  <c r="R24" i="6"/>
  <c r="C24" i="6"/>
  <c r="R23" i="6"/>
  <c r="C23" i="6"/>
  <c r="R22" i="6"/>
  <c r="C22" i="6"/>
  <c r="R21" i="6"/>
  <c r="Q20" i="6"/>
  <c r="C20" i="6"/>
  <c r="R19" i="6"/>
  <c r="C19" i="6"/>
  <c r="Q18" i="6"/>
  <c r="C18" i="6"/>
  <c r="R17" i="6"/>
  <c r="C17" i="6"/>
  <c r="R16" i="6"/>
  <c r="R14" i="6"/>
  <c r="C14" i="6"/>
  <c r="Q13" i="6"/>
  <c r="C13" i="6"/>
  <c r="R12" i="6"/>
  <c r="R11" i="6"/>
  <c r="R10" i="6"/>
  <c r="Q9" i="6"/>
  <c r="C9" i="6"/>
  <c r="R8" i="6"/>
  <c r="C8" i="6"/>
  <c r="R6" i="6"/>
  <c r="R5" i="6"/>
  <c r="R4" i="6"/>
  <c r="R3" i="6"/>
  <c r="R2" i="6"/>
  <c r="D1" i="6"/>
  <c r="S2" i="6" s="1"/>
  <c r="S3" i="6" s="1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C11" i="3"/>
  <c r="C16" i="3"/>
  <c r="T14" i="3"/>
  <c r="C14" i="3" s="1"/>
  <c r="U15" i="3"/>
  <c r="C15" i="3" s="1"/>
  <c r="U11" i="3"/>
  <c r="T12" i="3"/>
  <c r="C12" i="3" s="1"/>
  <c r="L13" i="3"/>
  <c r="U13" i="3" s="1"/>
  <c r="C13" i="3" s="1"/>
  <c r="U9" i="3"/>
  <c r="C9" i="3" s="1"/>
  <c r="C32" i="3"/>
  <c r="T8" i="3"/>
  <c r="C8" i="3" s="1"/>
  <c r="L10" i="2"/>
  <c r="U36" i="3"/>
  <c r="U5" i="3"/>
  <c r="C5" i="3" s="1"/>
  <c r="U4" i="3"/>
  <c r="C4" i="3" s="1"/>
  <c r="U42" i="1"/>
  <c r="C42" i="1" s="1"/>
  <c r="U40" i="1"/>
  <c r="C40" i="1" s="1"/>
  <c r="T41" i="1"/>
  <c r="C41" i="1" s="1"/>
  <c r="U37" i="1"/>
  <c r="C37" i="1" s="1"/>
  <c r="J53" i="1"/>
  <c r="K53" i="1" s="1"/>
  <c r="G53" i="1" s="1"/>
  <c r="G55" i="1" s="1"/>
  <c r="R31" i="5"/>
  <c r="C31" i="5"/>
  <c r="R30" i="5"/>
  <c r="C30" i="5"/>
  <c r="R29" i="5"/>
  <c r="C29" i="5"/>
  <c r="Q28" i="5"/>
  <c r="R27" i="5"/>
  <c r="R26" i="5"/>
  <c r="Q25" i="5"/>
  <c r="R24" i="5"/>
  <c r="C24" i="5"/>
  <c r="R23" i="5"/>
  <c r="C23" i="5"/>
  <c r="R22" i="5"/>
  <c r="C22" i="5"/>
  <c r="R21" i="5"/>
  <c r="Q20" i="5"/>
  <c r="C20" i="5"/>
  <c r="R19" i="5"/>
  <c r="C19" i="5"/>
  <c r="Q18" i="5"/>
  <c r="C18" i="5"/>
  <c r="R17" i="5"/>
  <c r="C17" i="5"/>
  <c r="R16" i="5"/>
  <c r="R14" i="5"/>
  <c r="C14" i="5"/>
  <c r="Q13" i="5"/>
  <c r="C13" i="5" s="1"/>
  <c r="R12" i="5"/>
  <c r="R11" i="5"/>
  <c r="R10" i="5"/>
  <c r="Q9" i="5"/>
  <c r="C9" i="5"/>
  <c r="R8" i="5"/>
  <c r="C8" i="5"/>
  <c r="R6" i="5"/>
  <c r="R5" i="5"/>
  <c r="R4" i="5"/>
  <c r="R3" i="5"/>
  <c r="R2" i="5"/>
  <c r="D1" i="5"/>
  <c r="U34" i="1"/>
  <c r="C34" i="1" s="1"/>
  <c r="T33" i="1"/>
  <c r="C33" i="1" s="1"/>
  <c r="T31" i="1"/>
  <c r="U32" i="1"/>
  <c r="U27" i="1"/>
  <c r="C27" i="1" s="1"/>
  <c r="U26" i="1"/>
  <c r="C26" i="1" s="1"/>
  <c r="U24" i="1"/>
  <c r="C24" i="1" s="1"/>
  <c r="T25" i="1"/>
  <c r="C25" i="1" s="1"/>
  <c r="T22" i="1"/>
  <c r="C22" i="1" s="1"/>
  <c r="U21" i="1"/>
  <c r="C21" i="1" s="1"/>
  <c r="U20" i="1"/>
  <c r="C20" i="1" s="1"/>
  <c r="U19" i="1"/>
  <c r="C19" i="1" s="1"/>
  <c r="T18" i="1"/>
  <c r="C18" i="1" s="1"/>
  <c r="U17" i="1"/>
  <c r="C17" i="1" s="1"/>
  <c r="U14" i="1"/>
  <c r="C14" i="1" s="1"/>
  <c r="U13" i="1"/>
  <c r="C13" i="1" s="1"/>
  <c r="T12" i="1"/>
  <c r="U11" i="1"/>
  <c r="C11" i="1" s="1"/>
  <c r="U10" i="1"/>
  <c r="C10" i="1" s="1"/>
  <c r="U8" i="1"/>
  <c r="C8" i="1" s="1"/>
  <c r="U9" i="1"/>
  <c r="C9" i="1" s="1"/>
  <c r="T7" i="1"/>
  <c r="C7" i="1" s="1"/>
  <c r="R32" i="4"/>
  <c r="C32" i="4"/>
  <c r="R31" i="4"/>
  <c r="C31" i="4"/>
  <c r="R30" i="4"/>
  <c r="C30" i="4"/>
  <c r="R29" i="4"/>
  <c r="C29" i="4"/>
  <c r="Q28" i="4"/>
  <c r="R27" i="4"/>
  <c r="R26" i="4"/>
  <c r="Q25" i="4"/>
  <c r="R24" i="4"/>
  <c r="C24" i="4"/>
  <c r="R23" i="4"/>
  <c r="C23" i="4"/>
  <c r="R22" i="4"/>
  <c r="C22" i="4"/>
  <c r="R21" i="4"/>
  <c r="Q20" i="4"/>
  <c r="C20" i="4" s="1"/>
  <c r="R19" i="4"/>
  <c r="C19" i="4"/>
  <c r="Q18" i="4"/>
  <c r="C18" i="4" s="1"/>
  <c r="R17" i="4"/>
  <c r="C17" i="4"/>
  <c r="R16" i="4"/>
  <c r="C15" i="4"/>
  <c r="R14" i="4"/>
  <c r="C14" i="4"/>
  <c r="Q13" i="4"/>
  <c r="C13" i="4" s="1"/>
  <c r="R12" i="4"/>
  <c r="R11" i="4"/>
  <c r="R10" i="4"/>
  <c r="Q9" i="4"/>
  <c r="C9" i="4"/>
  <c r="R8" i="4"/>
  <c r="C8" i="4"/>
  <c r="R6" i="4"/>
  <c r="R5" i="4"/>
  <c r="R4" i="4"/>
  <c r="R3" i="4"/>
  <c r="R2" i="4"/>
  <c r="D1" i="4"/>
  <c r="U35" i="3"/>
  <c r="T34" i="3"/>
  <c r="U33" i="3"/>
  <c r="U32" i="3"/>
  <c r="T31" i="3"/>
  <c r="C31" i="3" s="1"/>
  <c r="U30" i="3"/>
  <c r="C30" i="3"/>
  <c r="U29" i="3"/>
  <c r="C29" i="3"/>
  <c r="U28" i="3"/>
  <c r="C28" i="3"/>
  <c r="U27" i="3"/>
  <c r="T26" i="3"/>
  <c r="C26" i="3" s="1"/>
  <c r="U25" i="3"/>
  <c r="C25" i="3"/>
  <c r="T24" i="3"/>
  <c r="C24" i="3" s="1"/>
  <c r="U23" i="3"/>
  <c r="C23" i="3"/>
  <c r="U22" i="3"/>
  <c r="U10" i="3"/>
  <c r="C10" i="3" s="1"/>
  <c r="U7" i="3"/>
  <c r="C7" i="3" s="1"/>
  <c r="U6" i="3"/>
  <c r="C6" i="3" s="1"/>
  <c r="K12" i="2"/>
  <c r="L3" i="2"/>
  <c r="L4" i="2" s="1"/>
  <c r="L5" i="2" s="1"/>
  <c r="L6" i="2" s="1"/>
  <c r="L7" i="2" s="1"/>
  <c r="L8" i="2" s="1"/>
  <c r="L9" i="2" s="1"/>
  <c r="K2" i="2"/>
  <c r="D1" i="1"/>
  <c r="U39" i="1"/>
  <c r="C39" i="1" s="1"/>
  <c r="U38" i="1"/>
  <c r="C38" i="1" s="1"/>
  <c r="U36" i="1"/>
  <c r="C36" i="1" s="1"/>
  <c r="U35" i="1"/>
  <c r="C35" i="1" s="1"/>
  <c r="U30" i="1"/>
  <c r="C30" i="1" s="1"/>
  <c r="U29" i="1"/>
  <c r="C29" i="1" s="1"/>
  <c r="U28" i="1"/>
  <c r="C28" i="1" s="1"/>
  <c r="U23" i="1"/>
  <c r="C23" i="1" s="1"/>
  <c r="T16" i="1"/>
  <c r="C16" i="1" s="1"/>
  <c r="U15" i="1"/>
  <c r="C15" i="1" s="1"/>
  <c r="U6" i="1"/>
  <c r="C6" i="1" s="1"/>
  <c r="U5" i="1"/>
  <c r="C5" i="1" s="1"/>
  <c r="U4" i="1"/>
  <c r="C4" i="1" s="1"/>
  <c r="U3" i="1"/>
  <c r="C3" i="1" s="1"/>
  <c r="S2" i="5" l="1"/>
  <c r="S3" i="5" s="1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C32" i="1"/>
  <c r="S2" i="4"/>
  <c r="S3" i="4" s="1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V3" i="1"/>
  <c r="V4" i="1" s="1"/>
  <c r="V5" i="1" s="1"/>
  <c r="V6" i="1" s="1"/>
  <c r="V7" i="1" l="1"/>
  <c r="V8" i="1" l="1"/>
  <c r="V9" i="1" s="1"/>
  <c r="V10" i="1" s="1"/>
  <c r="V11" i="1" l="1"/>
  <c r="V12" i="1" s="1"/>
  <c r="V13" i="1" s="1"/>
  <c r="V14" i="1" s="1"/>
  <c r="V15" i="1" s="1"/>
  <c r="V16" i="1" s="1"/>
  <c r="V17" i="1" s="1"/>
  <c r="V18" i="1" l="1"/>
  <c r="V19" i="1" l="1"/>
  <c r="V20" i="1" s="1"/>
  <c r="V21" i="1" s="1"/>
  <c r="V22" i="1" s="1"/>
  <c r="V23" i="1" s="1"/>
  <c r="V24" i="1" s="1"/>
  <c r="V25" i="1" s="1"/>
  <c r="V26" i="1" l="1"/>
  <c r="V27" i="1" s="1"/>
  <c r="V28" i="1" l="1"/>
  <c r="V29" i="1" s="1"/>
  <c r="V30" i="1" s="1"/>
  <c r="V31" i="1" s="1"/>
  <c r="V32" i="1" l="1"/>
  <c r="V33" i="1" l="1"/>
  <c r="V34" i="1" s="1"/>
  <c r="V35" i="1" s="1"/>
  <c r="V36" i="1" s="1"/>
  <c r="V37" i="1" l="1"/>
  <c r="V38" i="1" s="1"/>
  <c r="V39" i="1" s="1"/>
  <c r="V40" i="1" s="1"/>
  <c r="V41" i="1" s="1"/>
  <c r="V42" i="1" l="1"/>
  <c r="D1" i="3" s="1"/>
  <c r="H55" i="1"/>
  <c r="V3" i="3" l="1"/>
  <c r="V4" i="3" s="1"/>
  <c r="V5" i="3" s="1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l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</calcChain>
</file>

<file path=xl/sharedStrings.xml><?xml version="1.0" encoding="utf-8"?>
<sst xmlns="http://schemas.openxmlformats.org/spreadsheetml/2006/main" count="256" uniqueCount="99">
  <si>
    <t xml:space="preserve">Debit </t>
  </si>
  <si>
    <t>Credit</t>
  </si>
  <si>
    <t xml:space="preserve">Balances is for CIM Bank </t>
  </si>
  <si>
    <t>Nill</t>
  </si>
  <si>
    <t>Salary oun in</t>
  </si>
  <si>
    <t>Salary bong in</t>
  </si>
  <si>
    <t>Mak bong and parent oun monthly support</t>
  </si>
  <si>
    <t>Daily Expenses on Jan-2026 (Account CIMB: 29012024)</t>
  </si>
  <si>
    <t>Café bong and oun and kon pov nov home jomkardoung+oun top up smart+send to pa bong+bong top up+payment for bong buy water</t>
  </si>
  <si>
    <t xml:space="preserve">JEE old record </t>
  </si>
  <si>
    <t xml:space="preserve">JEE new record update on 28-Nov-2024 </t>
  </si>
  <si>
    <t xml:space="preserve">Date </t>
  </si>
  <si>
    <t>Payment Mathod</t>
  </si>
  <si>
    <t xml:space="preserve">descriptiom for payment: JEE new record update on 28-Nov-2024 </t>
  </si>
  <si>
    <t>Remain</t>
  </si>
  <si>
    <t>From Chipmong bank to ACALEDA</t>
  </si>
  <si>
    <t xml:space="preserve">Song jeee </t>
  </si>
  <si>
    <t xml:space="preserve">Amount oy jee hy </t>
  </si>
  <si>
    <t>Daily Expenses on Feb-2026 (Account CIMB: 29012024)</t>
  </si>
  <si>
    <t>Daily Expenses on Mar-2026 (Account CIMB: 29012024)</t>
  </si>
  <si>
    <t>Payment lunch bong+payment for bong buy gift oy boss chiness bong+payment bong buy dinner+oun buy nem nham+fruit for buddha day</t>
  </si>
  <si>
    <t>Café bong and oun+gasoline bong for tov hometown+oun buy water and soft drinks nov hometown tok nham</t>
  </si>
  <si>
    <t>Buy café bong and oun for back from hometown to pp+oun buy matcha nham tov tver nail oun+nail and leg oun+oun buy night cream oy bong and body soaup+ j'ras dos teeth 2+buy snak tov nham nov home</t>
  </si>
  <si>
    <t>Café bong and oun+electricity for Nov-2025+oun buy dress+oun oy kon pov+oun oy pha for food for year end+bong buy dinner+vegentable+eng and chiken wing+fish meat ball+oun pay intrest oy mak oun</t>
  </si>
  <si>
    <t>Café bong and oun+gasoline oun+breaakfast oun</t>
  </si>
  <si>
    <t>Café bong and oun+breakfast bong and oun+withdrew for food restock+chekenn sre+payment buy 3coconut+Payment bong buy ice cream+movie ticket for 3 peoples+oun buy lipstick+snck for movie+dinner at master sukisoup after movie</t>
  </si>
  <si>
    <t xml:space="preserve">Café bong and oun+Payment lunch bong </t>
  </si>
  <si>
    <t>Café bong and oun+lunch and coconut bong+loan oun+aeon card oun+teeth mak send to jee+song jee +Vitamin and lotio oun</t>
  </si>
  <si>
    <t>Café bong and oun+oun top up 012+haft months bong+payment fix car+fruit for buddha day+payment oun sare dress for weeding+payment buy milk and ice cream and other stuff+other fruit one more sary+vegetable oun for food+water provida for daily use</t>
  </si>
  <si>
    <t>payment make up and hair style oun and bong for wedding+shock bong and short khor oun+jerg day ka ke bong oun and mak</t>
  </si>
  <si>
    <t>Jee send oy bong for mak jerg day ka ke</t>
  </si>
  <si>
    <t xml:space="preserve">Breakfast bong for stay home sick reak ach+café bong+gasoline bong+send oy hea for breakfast heng cha om pov and lunch at sambo+pament bong buy dinner </t>
  </si>
  <si>
    <t>Hea send back for nham ey nov phum sambo (he free he free for us)</t>
  </si>
  <si>
    <t>Payment bong buy dinner+gasoline oun+tnam cher kbal and other medichone oun</t>
  </si>
  <si>
    <t>Café bong and oun+for loan pu and oun will go pick up cash pi pha after work +payment dinner</t>
  </si>
  <si>
    <t xml:space="preserve">Café 2 cup+breakfast bong+lunch bong+bong top up+bong buy dinner+oun top up+dinner oun at sapei </t>
  </si>
  <si>
    <t>Bong dy send in for jes grab tov nham lunch ft team</t>
  </si>
  <si>
    <t>Café bong and oun+jes grab tov +jes brab mk office venh+buy prohet tov nham ey nov home bong linda</t>
  </si>
  <si>
    <t>Cash in Bank from pu send back</t>
  </si>
  <si>
    <t>Café bong and oun+breakfast bong and oun+oun oder stuff for use in office</t>
  </si>
  <si>
    <t>Breakfast bong and oun+café bong and oun (Sdach café)+oun buy fruit for buddha day+vegetable+buy water+coconut</t>
  </si>
  <si>
    <t>Café bong and oun+gasoline bong +bong buy dinner by cha and micha+oun buy breakfast oy bong and vegetable set for food (Mju youn)</t>
  </si>
  <si>
    <t>Café bong and oun+gaoline oun+payment for pay water +oun top 096+oun buy  dinner +oun top up metfone oy pok</t>
  </si>
  <si>
    <t>Café bong and oun</t>
  </si>
  <si>
    <t>Café bong and oun+oun buy nem tov nham nov home</t>
  </si>
  <si>
    <t>Salary bong in-209 house loan bong +419 hea not yet send in and bong deposit only 500.00</t>
  </si>
  <si>
    <t>Mototire+café bong and oun+monthly for parenet oun+monthly for mak bong +payment for buy coconut+payment fir dinner</t>
  </si>
  <si>
    <t>Payment café and breakfast oun+Payment bong buy terk t'lach +payment bong buy dinner for nham nov home bong linda</t>
  </si>
  <si>
    <t>breakfast bong and oun+café bong and oun+oun buy chiken for food+payment vegitable+payment for soft drinks vegentable oun+oun buy fruit for buddha day+bong buy cloths at teen11+payment bong buy account google AI</t>
  </si>
  <si>
    <t>Hea send in for house loan</t>
  </si>
  <si>
    <t>Daily Expenses on Apr-2026 (Account CIMB: 29012024)</t>
  </si>
  <si>
    <t>Salary bong in bank 900$ and 43$ is cash with bong+salary oun in ABA+salary oun from Canadia bank</t>
  </si>
  <si>
    <t>lunch for 6 people</t>
  </si>
  <si>
    <t>Dinner for 6 people</t>
  </si>
  <si>
    <t xml:space="preserve">Gasoline </t>
  </si>
  <si>
    <t>Kompot family trip EST</t>
  </si>
  <si>
    <t>Lunch for 6 people</t>
  </si>
  <si>
    <t xml:space="preserve">Room </t>
  </si>
  <si>
    <t xml:space="preserve">Breakfast+café </t>
  </si>
  <si>
    <t>Café bong and oun+bong buy dinner</t>
  </si>
  <si>
    <t>Café bong and oun+gasoline oun+more café bong and breakfast+bong top up+bong buy dinner+payment gaoline bong+bong buy beer+oun buy stuff at sombo market</t>
  </si>
  <si>
    <t>Payment for medichine bong+other medichine+payment bong buy water+oun buy night cream</t>
  </si>
  <si>
    <t>Café bong and oun+payment pa bong som+bong top up+payment oun buy dinner</t>
  </si>
  <si>
    <t xml:space="preserve">Oun top up 096+bong buy dinner for nha nov jomkardoung+bong buy beer+2 bottle of wisky for tov kompot </t>
  </si>
  <si>
    <t>Bong linda send in for share on trip+hea+jee pha</t>
  </si>
  <si>
    <t>Oun top up 012+gasoline before kompot family trip+vafe plus on the way+breakfast on trip to kompot+buy oyster at kompot+stuff for nham ey like jan chopstick+cold drinks at kep coconut ice coca water+send to jee pha for food that she bought for trip+tiramisu cake at kompot+payment bong buy water at kompot+bong buy coca+and payment ice ans beer</t>
  </si>
  <si>
    <t>Monthly tax+café at kompot day2+oun buy leas hal at doung te kompot+oun buy mju+oum bel 1 kompong+3 coconot at doung te+send to hea for room and other stuff like dinner and lunch+payment for return for lunch and wisky+payment oun buy num back home from doung te+gasoline for back home+pay back to kon pov for cafe back home+oy hay buy beer nov home jomkardoung+bong+top up oy mae oun+oun top up for chnage to esim+oun buy fruit for buddha day+</t>
  </si>
  <si>
    <t>Credit interest+Bong thi send in</t>
  </si>
  <si>
    <t>Café bong and oun+brekfast bong+bong top up+Payment for bong buy beer nham ey birthday oun at home jomkardoung+gasoline oun</t>
  </si>
  <si>
    <t>Khmer New Year</t>
  </si>
  <si>
    <t>Gasoline bong +other café bong+bong buy dinner tov mer oun bot nov pet+payment for mi cha oun+payment water suppliy at home+payment elrctricity at home+payment internet+payment wate collection</t>
  </si>
  <si>
    <t>Café and bong and oun+lunch bong+payment bong buy  dinner+payment oun buy ka pis and ka tea tiuk</t>
  </si>
  <si>
    <t>Salary oun in ABA+bonus</t>
  </si>
  <si>
    <t>Pu oy for loan 40000</t>
  </si>
  <si>
    <t>For food for birthday oun</t>
  </si>
  <si>
    <t>For beer for birthday oun</t>
  </si>
  <si>
    <t xml:space="preserve">Oun top upcard canteen for lunch </t>
  </si>
  <si>
    <t>Bong yk keep for oy securty car os</t>
  </si>
  <si>
    <t>Oun derk jay and top up card os pay team os 3$</t>
  </si>
  <si>
    <t>Payment café bong and oun (bigo)+breakfast oun+oun oy kon pov +oun skincare for use like, shampoo set body oil, comp,body lotion…+night cream set oun+oun nham dinner</t>
  </si>
  <si>
    <t>Café bong and oun+Lunch bong+payment bong buy dinner+payment oun buy catea touk</t>
  </si>
  <si>
    <t>Breakfast bong and oun+payment for 2 café+payment for food and vegentable oun+payment bong cut hair+payment 2 coconut+payment oun buy cloths tov ka kon oum nov ta keo+payment oun for nail and make up+payment for jorng day ka kon oum nov ta keo+bong tin jorng day</t>
  </si>
  <si>
    <t>Bong tin send in for jorng day</t>
  </si>
  <si>
    <t>Breakfast bong and oun+payment for café bong and oun+payment for frong for food+payment vegentable  oun+other groceries+gocerires+payment tov psa sambo+fiash meatball and beef meatball+spey+paymemt bng buy water</t>
  </si>
  <si>
    <t>Café bong anf oun+gasoline oun+bong send oy dad bong+Payment for wing+bong buy coconut+oun add more for hair machine oun that use voucher+add more for use voucher buy white chocolate</t>
  </si>
  <si>
    <t xml:space="preserve">Jee send in for send oy dad bong </t>
  </si>
  <si>
    <t>Daily Expenses on May-2026 (Account CIMB: 29012024)</t>
  </si>
  <si>
    <t xml:space="preserve">Weeding fri oun nov Tratis provinces </t>
  </si>
  <si>
    <t>កញ្ញា. ប៊ិន សុខរ៉េត</t>
  </si>
  <si>
    <t>Salary bong in 943$ but keep in bank 900$ only cash for daily expense+Salary oun in ABA+salary oun canadia bank (8$ for bonus deduct)</t>
  </si>
  <si>
    <t>Breakfast bong+gasoline bong+payment bong for car parking+payment for haft months for this months and included last months+song jee+loan oun+aeon card oun+oun pay intrest oy mak oun+send back for yk cash pu jay+payment bong buy beer+payment bong buy dinner</t>
  </si>
  <si>
    <t>Payment for Pha send for Kompot family trip</t>
  </si>
  <si>
    <t xml:space="preserve">Café bong and oun+payment medichinne mak bong sick+Payment for breakfast+payment oun buy medichine oun+payment for buy stuff sen derk jerg thouk+payment for with drew cash for buy food for restock+payment oun buy water and sting tov tver nail nov charam pov+oun tver nail and mak wash hair+payment buy soft drinks 2+oun buy oil for cooking+payment oun buy dessert oy bong nham nov home+payment cleaning air conditioner at our room+payment bong buy tnam lers blood oy mak </t>
  </si>
  <si>
    <t>Gasoline bong +bong top up+Diiner</t>
  </si>
  <si>
    <t>Café bong and oun+dress oun</t>
  </si>
  <si>
    <t>Date</t>
  </si>
  <si>
    <t>Expense Description</t>
  </si>
  <si>
    <t>total expen</t>
  </si>
  <si>
    <t>amount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</si>
</sst>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dd\-mmm\-yy;@"/>
    <numFmt numFmtId="166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 val="singleAccounting"/>
      <sz val="11"/>
      <color rgb="FF3F3F76"/>
      <name val="Comic Sans MS"/>
      <family val="4"/>
    </font>
    <font>
      <sz val="11"/>
      <color theme="1"/>
      <name val="Comic Sans MS"/>
      <family val="4"/>
    </font>
    <font>
      <b/>
      <i/>
      <u/>
      <sz val="14"/>
      <color rgb="FF006100"/>
      <name val="Comic Sans MS"/>
      <family val="4"/>
    </font>
    <font>
      <b/>
      <i/>
      <u/>
      <sz val="14"/>
      <color rgb="FF9C5700"/>
      <name val="Comic Sans MS"/>
      <family val="4"/>
    </font>
    <font>
      <b/>
      <i/>
      <u/>
      <sz val="12"/>
      <color rgb="FF9C0006"/>
      <name val="Comic Sans MS"/>
      <family val="4"/>
    </font>
    <font>
      <sz val="12"/>
      <color theme="1"/>
      <name val="Comic Sans MS"/>
      <family val="4"/>
    </font>
    <font>
      <sz val="11"/>
      <name val="Comic Sans MS"/>
      <family val="4"/>
    </font>
    <font>
      <sz val="11"/>
      <color rgb="FF9C5700"/>
      <name val="Comic Sans MS"/>
      <family val="4"/>
    </font>
    <font>
      <b/>
      <i/>
      <sz val="12"/>
      <color rgb="FF9C0006"/>
      <name val="Comic Sans MS"/>
      <family val="4"/>
    </font>
    <font>
      <sz val="12"/>
      <name val="Comic Sans MS"/>
      <family val="4"/>
    </font>
    <font>
      <b/>
      <i/>
      <u val="singleAccounting"/>
      <sz val="11"/>
      <color rgb="FF9C0006"/>
      <name val="Comic Sans MS"/>
      <family val="4"/>
    </font>
    <font>
      <b/>
      <i/>
      <u val="singleAccounting"/>
      <sz val="12"/>
      <color rgb="FF9C0006"/>
      <name val="Comic Sans MS"/>
      <family val="4"/>
    </font>
    <font>
      <b/>
      <i/>
      <sz val="12"/>
      <color theme="1"/>
      <name val="Comic Sans MS"/>
      <family val="4"/>
    </font>
    <font>
      <b/>
      <i/>
      <u/>
      <sz val="16"/>
      <color theme="1"/>
      <name val="Comic Sans MS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rgb="FF9C5700"/>
      <name val="Comic Sans MS"/>
      <family val="4"/>
    </font>
    <font>
      <b/>
      <i/>
      <sz val="11"/>
      <color rgb="FF9C5700"/>
      <name val="Comic Sans MS"/>
      <family val="4"/>
    </font>
    <font>
      <b/>
      <sz val="14"/>
      <color rgb="FF006100"/>
      <name val="Comic Sans MS"/>
      <family val="4"/>
    </font>
    <font>
      <b/>
      <sz val="11"/>
      <color rgb="FF006100"/>
      <name val="Comic Sans MS"/>
      <family val="4"/>
    </font>
    <font>
      <b/>
      <sz val="11"/>
      <color rgb="FF9C5700"/>
      <name val="Comic Sans MS"/>
      <family val="4"/>
    </font>
    <font>
      <b/>
      <sz val="11"/>
      <color theme="1"/>
      <name val="Comic Sans MS"/>
      <family val="4"/>
    </font>
    <font>
      <b/>
      <i/>
      <u/>
      <sz val="12"/>
      <color rgb="FF006100"/>
      <name val="Comic Sans MS"/>
      <family val="4"/>
    </font>
    <font>
      <b/>
      <i/>
      <u/>
      <sz val="12"/>
      <color rgb="FF9C5700"/>
      <name val="Comic Sans MS"/>
      <family val="4"/>
    </font>
    <font>
      <b/>
      <sz val="12"/>
      <color rgb="FF006100"/>
      <name val="Comic Sans MS"/>
      <family val="4"/>
    </font>
    <font>
      <b/>
      <sz val="12"/>
      <color rgb="FF9C5700"/>
      <name val="Comic Sans MS"/>
      <family val="4"/>
    </font>
    <font>
      <b/>
      <sz val="12"/>
      <color theme="1"/>
      <name val="Comic Sans MS"/>
      <family val="4"/>
    </font>
    <font>
      <sz val="11"/>
      <color theme="0"/>
      <name val="Calibri"/>
      <family val="2"/>
      <scheme val="minor"/>
    </font>
    <font>
      <sz val="11"/>
      <color theme="1"/>
      <name val="Khmer OS Battambang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43" fontId="1" fillId="0" borderId="0" applyFont="0" applyFill="0" applyBorder="0" applyAlignment="0" applyProtection="0"/>
    <xf numFmtId="0" fontId="34" fillId="10" borderId="0" applyNumberFormat="0" applyBorder="0" applyAlignment="0" applyProtection="0"/>
  </cellStyleXfs>
  <cellXfs count="88">
    <xf numFmtId="0" fontId="0" fillId="0" borderId="0" xfId="0"/>
    <xf numFmtId="164" fontId="0" fillId="0" borderId="0" xfId="0" applyNumberFormat="1"/>
    <xf numFmtId="164" fontId="7" fillId="5" borderId="1" xfId="5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9" fillId="2" borderId="2" xfId="2" applyFont="1" applyBorder="1" applyAlignment="1">
      <alignment horizontal="center" vertical="center"/>
    </xf>
    <xf numFmtId="0" fontId="10" fillId="4" borderId="2" xfId="4" applyFont="1" applyBorder="1" applyAlignment="1">
      <alignment horizontal="center" vertical="center"/>
    </xf>
    <xf numFmtId="0" fontId="11" fillId="3" borderId="2" xfId="3" applyFont="1" applyBorder="1" applyAlignment="1">
      <alignment horizontal="center" vertical="center" wrapText="1"/>
    </xf>
    <xf numFmtId="165" fontId="8" fillId="0" borderId="2" xfId="0" applyNumberFormat="1" applyFont="1" applyBorder="1"/>
    <xf numFmtId="0" fontId="12" fillId="0" borderId="2" xfId="0" applyFont="1" applyBorder="1"/>
    <xf numFmtId="164" fontId="12" fillId="0" borderId="2" xfId="1" applyFont="1" applyBorder="1" applyAlignment="1"/>
    <xf numFmtId="164" fontId="7" fillId="0" borderId="1" xfId="5" applyNumberFormat="1" applyFont="1" applyFill="1" applyAlignment="1">
      <alignment horizontal="center" vertical="center"/>
    </xf>
    <xf numFmtId="164" fontId="8" fillId="0" borderId="2" xfId="1" applyFont="1" applyFill="1" applyBorder="1" applyAlignment="1"/>
    <xf numFmtId="164" fontId="11" fillId="3" borderId="2" xfId="3" applyNumberFormat="1" applyFont="1" applyBorder="1" applyAlignment="1">
      <alignment horizontal="center" vertical="center" wrapText="1"/>
    </xf>
    <xf numFmtId="0" fontId="13" fillId="0" borderId="2" xfId="2" applyFont="1" applyFill="1" applyBorder="1"/>
    <xf numFmtId="164" fontId="15" fillId="3" borderId="2" xfId="1" applyFont="1" applyFill="1" applyBorder="1" applyAlignment="1"/>
    <xf numFmtId="164" fontId="13" fillId="0" borderId="2" xfId="2" applyNumberFormat="1" applyFont="1" applyFill="1" applyBorder="1" applyAlignment="1"/>
    <xf numFmtId="164" fontId="8" fillId="0" borderId="0" xfId="0" applyNumberFormat="1" applyFont="1"/>
    <xf numFmtId="0" fontId="16" fillId="0" borderId="2" xfId="0" applyFont="1" applyBorder="1"/>
    <xf numFmtId="164" fontId="16" fillId="0" borderId="2" xfId="1" applyFont="1" applyFill="1" applyBorder="1" applyAlignment="1"/>
    <xf numFmtId="164" fontId="17" fillId="0" borderId="0" xfId="3" applyNumberFormat="1" applyFont="1" applyFill="1" applyBorder="1" applyAlignment="1"/>
    <xf numFmtId="164" fontId="12" fillId="0" borderId="2" xfId="1" applyFont="1" applyFill="1" applyBorder="1" applyAlignment="1"/>
    <xf numFmtId="164" fontId="18" fillId="0" borderId="0" xfId="3" applyNumberFormat="1" applyFont="1" applyFill="1" applyBorder="1" applyAlignment="1"/>
    <xf numFmtId="164" fontId="14" fillId="0" borderId="0" xfId="4" applyNumberFormat="1" applyFont="1" applyFill="1" applyBorder="1"/>
    <xf numFmtId="164" fontId="12" fillId="0" borderId="0" xfId="1" applyFont="1" applyFill="1" applyBorder="1"/>
    <xf numFmtId="0" fontId="19" fillId="0" borderId="0" xfId="0" applyFont="1"/>
    <xf numFmtId="0" fontId="6" fillId="0" borderId="0" xfId="0" applyFont="1"/>
    <xf numFmtId="164" fontId="0" fillId="0" borderId="0" xfId="1" applyFont="1"/>
    <xf numFmtId="164" fontId="6" fillId="0" borderId="0" xfId="1" applyFo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6" fillId="0" borderId="2" xfId="0" applyNumberFormat="1" applyFont="1" applyBorder="1"/>
    <xf numFmtId="164" fontId="22" fillId="0" borderId="2" xfId="0" applyNumberFormat="1" applyFont="1" applyBorder="1" applyAlignment="1">
      <alignment vertical="center"/>
    </xf>
    <xf numFmtId="0" fontId="0" fillId="0" borderId="2" xfId="0" applyBorder="1"/>
    <xf numFmtId="164" fontId="23" fillId="4" borderId="2" xfId="1" applyFont="1" applyFill="1" applyBorder="1" applyAlignment="1">
      <alignment horizontal="center" vertical="center"/>
    </xf>
    <xf numFmtId="164" fontId="24" fillId="4" borderId="2" xfId="1" applyFont="1" applyFill="1" applyBorder="1" applyAlignment="1">
      <alignment horizontal="center" vertical="center"/>
    </xf>
    <xf numFmtId="164" fontId="25" fillId="2" borderId="2" xfId="2" applyNumberFormat="1" applyFont="1" applyBorder="1" applyAlignment="1">
      <alignment horizontal="center" vertical="center"/>
    </xf>
    <xf numFmtId="164" fontId="26" fillId="2" borderId="2" xfId="1" applyFont="1" applyFill="1" applyBorder="1" applyAlignment="1"/>
    <xf numFmtId="164" fontId="27" fillId="4" borderId="2" xfId="1" applyFont="1" applyFill="1" applyBorder="1" applyAlignment="1"/>
    <xf numFmtId="164" fontId="26" fillId="2" borderId="2" xfId="1" applyFont="1" applyFill="1" applyBorder="1"/>
    <xf numFmtId="164" fontId="27" fillId="4" borderId="2" xfId="1" applyFont="1" applyFill="1" applyBorder="1"/>
    <xf numFmtId="0" fontId="28" fillId="0" borderId="0" xfId="0" applyFont="1"/>
    <xf numFmtId="0" fontId="27" fillId="0" borderId="0" xfId="4" applyFont="1" applyFill="1"/>
    <xf numFmtId="0" fontId="29" fillId="2" borderId="2" xfId="2" applyFont="1" applyBorder="1" applyAlignment="1">
      <alignment horizontal="center" vertical="center"/>
    </xf>
    <xf numFmtId="0" fontId="30" fillId="4" borderId="2" xfId="4" applyFont="1" applyBorder="1" applyAlignment="1">
      <alignment horizontal="center" vertical="center"/>
    </xf>
    <xf numFmtId="164" fontId="31" fillId="2" borderId="2" xfId="2" applyNumberFormat="1" applyFont="1" applyBorder="1" applyAlignment="1">
      <alignment horizontal="center" vertical="center"/>
    </xf>
    <xf numFmtId="164" fontId="31" fillId="2" borderId="2" xfId="1" applyFont="1" applyFill="1" applyBorder="1" applyAlignment="1"/>
    <xf numFmtId="164" fontId="32" fillId="4" borderId="2" xfId="1" applyFont="1" applyFill="1" applyBorder="1" applyAlignment="1"/>
    <xf numFmtId="164" fontId="31" fillId="2" borderId="2" xfId="1" applyFont="1" applyFill="1" applyBorder="1"/>
    <xf numFmtId="164" fontId="32" fillId="4" borderId="2" xfId="1" applyFont="1" applyFill="1" applyBorder="1"/>
    <xf numFmtId="0" fontId="33" fillId="0" borderId="0" xfId="0" applyFont="1"/>
    <xf numFmtId="0" fontId="32" fillId="0" borderId="0" xfId="4" applyFont="1" applyFill="1"/>
    <xf numFmtId="164" fontId="34" fillId="6" borderId="2" xfId="6" applyNumberFormat="1" applyBorder="1" applyAlignment="1"/>
    <xf numFmtId="164" fontId="34" fillId="7" borderId="2" xfId="7" applyNumberFormat="1" applyBorder="1" applyAlignment="1"/>
    <xf numFmtId="164" fontId="0" fillId="0" borderId="2" xfId="1" applyFont="1" applyFill="1" applyBorder="1" applyAlignment="1">
      <alignment vertical="center"/>
    </xf>
    <xf numFmtId="0" fontId="0" fillId="0" borderId="0" xfId="0" applyAlignment="1">
      <alignment vertical="center"/>
    </xf>
    <xf numFmtId="164" fontId="6" fillId="0" borderId="6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5" fontId="0" fillId="0" borderId="2" xfId="0" applyNumberFormat="1" applyBorder="1" applyAlignment="1">
      <alignment vertical="center"/>
    </xf>
    <xf numFmtId="0" fontId="6" fillId="0" borderId="2" xfId="0" applyFont="1" applyBorder="1" applyAlignment="1">
      <alignment vertical="center"/>
    </xf>
    <xf numFmtId="165" fontId="8" fillId="8" borderId="2" xfId="0" applyNumberFormat="1" applyFont="1" applyFill="1" applyBorder="1"/>
    <xf numFmtId="0" fontId="12" fillId="8" borderId="2" xfId="0" applyFont="1" applyFill="1" applyBorder="1"/>
    <xf numFmtId="164" fontId="12" fillId="8" borderId="2" xfId="1" applyFont="1" applyFill="1" applyBorder="1" applyAlignment="1"/>
    <xf numFmtId="164" fontId="8" fillId="0" borderId="0" xfId="1" applyFont="1"/>
    <xf numFmtId="15" fontId="8" fillId="0" borderId="0" xfId="0" applyNumberFormat="1" applyFont="1"/>
    <xf numFmtId="164" fontId="32" fillId="0" borderId="0" xfId="4" applyNumberFormat="1" applyFont="1" applyFill="1"/>
    <xf numFmtId="0" fontId="8" fillId="0" borderId="2" xfId="0" applyFont="1" applyBorder="1"/>
    <xf numFmtId="166" fontId="8" fillId="0" borderId="2" xfId="8" applyNumberFormat="1" applyFont="1" applyBorder="1"/>
    <xf numFmtId="166" fontId="8" fillId="0" borderId="0" xfId="0" applyNumberFormat="1" applyFont="1"/>
    <xf numFmtId="165" fontId="8" fillId="9" borderId="2" xfId="0" applyNumberFormat="1" applyFont="1" applyFill="1" applyBorder="1"/>
    <xf numFmtId="0" fontId="12" fillId="9" borderId="2" xfId="0" applyFont="1" applyFill="1" applyBorder="1"/>
    <xf numFmtId="164" fontId="12" fillId="9" borderId="2" xfId="1" applyFont="1" applyFill="1" applyBorder="1" applyAlignment="1"/>
    <xf numFmtId="164" fontId="0" fillId="0" borderId="2" xfId="1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 wrapText="1"/>
    </xf>
    <xf numFmtId="164" fontId="34" fillId="10" borderId="2" xfId="9" applyNumberFormat="1" applyBorder="1" applyAlignment="1"/>
    <xf numFmtId="0" fontId="20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right" vertical="center"/>
    </xf>
    <xf numFmtId="0" fontId="22" fillId="0" borderId="4" xfId="0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0" fontId="20" fillId="0" borderId="2" xfId="0" applyFont="1" applyBorder="1" applyAlignment="1">
      <alignment horizontal="center" vertical="center"/>
    </xf>
  </cellXfs>
  <cellStyles count="10">
    <cellStyle name="Accent4" xfId="7" builtinId="41"/>
    <cellStyle name="Accent5" xfId="6" builtinId="45"/>
    <cellStyle name="Accent6" xfId="9" builtinId="49"/>
    <cellStyle name="Bad" xfId="3" builtinId="27"/>
    <cellStyle name="Comma" xfId="8" builtinId="3"/>
    <cellStyle name="Currency" xfId="1" builtinId="4"/>
    <cellStyle name="Good" xfId="2" builtinId="26"/>
    <cellStyle name="Input" xfId="5" builtinId="20"/>
    <cellStyle name="Neutral" xfId="4" builtinId="2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285751</xdr:colOff>
      <xdr:row>7</xdr:row>
      <xdr:rowOff>352424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6E52D-BDA2-4E62-A1AA-169849166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114550" cy="3152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42</xdr:row>
      <xdr:rowOff>232835</xdr:rowOff>
    </xdr:from>
    <xdr:to>
      <xdr:col>1</xdr:col>
      <xdr:colOff>2329790</xdr:colOff>
      <xdr:row>64</xdr:row>
      <xdr:rowOff>88570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3EE82C-D3AB-7EA1-419D-A7D5F594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9948335"/>
          <a:ext cx="2848373" cy="52109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719666</xdr:colOff>
      <xdr:row>35</xdr:row>
      <xdr:rowOff>232833</xdr:rowOff>
    </xdr:from>
    <xdr:to>
      <xdr:col>1</xdr:col>
      <xdr:colOff>2814508</xdr:colOff>
      <xdr:row>61</xdr:row>
      <xdr:rowOff>105641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CF225-B10B-632B-6EEC-4F97B5E9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6" y="8350250"/>
          <a:ext cx="2867425" cy="6201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698500</xdr:colOff>
      <xdr:row>32</xdr:row>
      <xdr:rowOff>201083</xdr:rowOff>
    </xdr:from>
    <xdr:to>
      <xdr:col>1</xdr:col>
      <xdr:colOff>2774290</xdr:colOff>
      <xdr:row>58</xdr:row>
      <xdr:rowOff>54837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8F33C3-58A2-1242-9A96-6553C3C1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9069916"/>
          <a:ext cx="2848373" cy="6182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116417</xdr:colOff>
      <xdr:row>31</xdr:row>
      <xdr:rowOff>211666</xdr:rowOff>
    </xdr:from>
    <xdr:to>
      <xdr:col>1</xdr:col>
      <xdr:colOff>2993368</xdr:colOff>
      <xdr:row>53</xdr:row>
      <xdr:rowOff>108732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49D83-A680-0A63-2EB1-A7A9C975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0" y="8837083"/>
          <a:ext cx="2876951" cy="56014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32</xdr:row>
      <xdr:rowOff>232834</xdr:rowOff>
    </xdr:from>
    <xdr:to>
      <xdr:col>1</xdr:col>
      <xdr:colOff>2790158</xdr:colOff>
      <xdr:row>57</xdr:row>
      <xdr:rowOff>72795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A02145-61EA-ADC8-56BC-835985F3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9112251"/>
          <a:ext cx="2800741" cy="59253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ambodia%20Airways/Desktop/Pheap%20File/Pheap-1/Pheap%20Daily%20Working/Daily%20Expense/Daily%20Expense%20Report%20for%202025.xlsx" TargetMode="External"/><Relationship Id="rId1" Type="http://schemas.openxmlformats.org/officeDocument/2006/relationships/externalLinkPath" Target="file:///C:/Users/Cambodia%20Airways/Desktop/Pheap%20File/Pheap-1/Pheap%20Daily%20Working/Daily%20Expense/Daily%20Expense%20Report%20fo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ak Down List for Hea"/>
      <sheetName val="ជន្លង់ម្រេចនៅមេមត់"/>
      <sheetName val="Dec-2024"/>
      <sheetName val="Land at KPC "/>
      <sheetName val="SR plain on 7-8-9-Jun-2025"/>
      <sheetName val="Daily Expense on Jan-2025"/>
      <sheetName val="Daily Expense on Feb-2025"/>
      <sheetName val="Daily Expense on Mar-2025"/>
      <sheetName val="Daily Expense on Apr-2025"/>
      <sheetName val="Daily Expense on May-2025"/>
      <sheetName val="Daily Expense on Jun-2025"/>
      <sheetName val="Daily Expense on Jul-2025"/>
      <sheetName val="Daily Expense on Aug-2025"/>
      <sheetName val="Daily Expense on Sep-2025"/>
      <sheetName val="Daily Expense on Oct-2025"/>
      <sheetName val="Daily Expense on Nov-2025"/>
      <sheetName val="Break Down List for Jee"/>
      <sheetName val="Daily Expense on Dec-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T41">
            <v>586.00000000000011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E99A-341B-4ACF-9EE2-B036E9FAC4DF}">
  <dimension ref="E1:M12"/>
  <sheetViews>
    <sheetView workbookViewId="0">
      <selection activeCell="M7" sqref="M7"/>
    </sheetView>
  </sheetViews>
  <sheetFormatPr baseColWidth="10" defaultColWidth="8.83203125" defaultRowHeight="15"/>
  <cols>
    <col min="5" max="5" width="36.33203125" bestFit="1" customWidth="1"/>
    <col min="6" max="6" width="10.5" bestFit="1" customWidth="1"/>
    <col min="8" max="8" width="10.1640625" style="60" bestFit="1" customWidth="1"/>
    <col min="9" max="9" width="31.5" customWidth="1"/>
    <col min="10" max="10" width="15.1640625" customWidth="1"/>
    <col min="11" max="11" width="16.1640625" style="60" customWidth="1"/>
    <col min="12" max="12" width="11.83203125" customWidth="1"/>
    <col min="13" max="13" width="9.6640625" bestFit="1" customWidth="1"/>
  </cols>
  <sheetData>
    <row r="1" spans="5:13" ht="31.5" customHeight="1">
      <c r="E1" s="26" t="s">
        <v>9</v>
      </c>
      <c r="F1" s="27">
        <v>4125.7</v>
      </c>
      <c r="H1" s="81" t="s">
        <v>10</v>
      </c>
      <c r="I1" s="82"/>
      <c r="J1" s="82"/>
      <c r="K1" s="82"/>
      <c r="L1" s="83"/>
    </row>
    <row r="2" spans="5:13" ht="31.5" customHeight="1">
      <c r="E2" s="26" t="s">
        <v>10</v>
      </c>
      <c r="F2" s="28">
        <v>4185.7</v>
      </c>
      <c r="H2" s="64" t="s">
        <v>11</v>
      </c>
      <c r="I2" s="30" t="s">
        <v>12</v>
      </c>
      <c r="J2" s="31" t="s">
        <v>13</v>
      </c>
      <c r="K2" s="61">
        <f>F2</f>
        <v>4185.7</v>
      </c>
      <c r="L2" s="29" t="s">
        <v>14</v>
      </c>
    </row>
    <row r="3" spans="5:13" ht="31.5" customHeight="1">
      <c r="H3" s="63">
        <v>45773</v>
      </c>
      <c r="I3" s="32" t="s">
        <v>15</v>
      </c>
      <c r="J3" s="32" t="s">
        <v>16</v>
      </c>
      <c r="K3" s="62">
        <v>-1000</v>
      </c>
      <c r="L3" s="33">
        <f>K2+K3</f>
        <v>3185.7</v>
      </c>
    </row>
    <row r="4" spans="5:13" ht="31.5" customHeight="1">
      <c r="H4" s="63">
        <v>45834</v>
      </c>
      <c r="I4" s="32" t="s">
        <v>15</v>
      </c>
      <c r="J4" s="32" t="s">
        <v>16</v>
      </c>
      <c r="K4" s="62">
        <v>-500</v>
      </c>
      <c r="L4" s="34">
        <f t="shared" ref="L4:L10" si="0">L3+K4</f>
        <v>2685.7</v>
      </c>
    </row>
    <row r="5" spans="5:13" ht="31.5" customHeight="1">
      <c r="H5" s="63">
        <v>45863</v>
      </c>
      <c r="I5" s="35" t="s">
        <v>15</v>
      </c>
      <c r="J5" s="32" t="s">
        <v>16</v>
      </c>
      <c r="K5" s="62">
        <v>-200</v>
      </c>
      <c r="L5" s="33">
        <f t="shared" si="0"/>
        <v>2485.6999999999998</v>
      </c>
    </row>
    <row r="6" spans="5:13" ht="31.5" customHeight="1">
      <c r="H6" s="63">
        <v>45880</v>
      </c>
      <c r="I6" s="35" t="s">
        <v>15</v>
      </c>
      <c r="J6" s="32" t="s">
        <v>16</v>
      </c>
      <c r="K6" s="62">
        <v>-200.7</v>
      </c>
      <c r="L6" s="33">
        <f t="shared" si="0"/>
        <v>2285</v>
      </c>
    </row>
    <row r="7" spans="5:13" ht="31.5" customHeight="1">
      <c r="H7" s="63">
        <v>45897</v>
      </c>
      <c r="I7" s="35" t="s">
        <v>15</v>
      </c>
      <c r="J7" s="32" t="s">
        <v>16</v>
      </c>
      <c r="K7" s="59">
        <v>-200</v>
      </c>
      <c r="L7" s="33">
        <f t="shared" si="0"/>
        <v>2085</v>
      </c>
    </row>
    <row r="8" spans="5:13" ht="31.5" customHeight="1">
      <c r="H8" s="63">
        <v>45971</v>
      </c>
      <c r="I8" s="35" t="s">
        <v>15</v>
      </c>
      <c r="J8" s="35" t="s">
        <v>16</v>
      </c>
      <c r="K8" s="59">
        <v>-400</v>
      </c>
      <c r="L8" s="33">
        <f t="shared" si="0"/>
        <v>1685</v>
      </c>
      <c r="M8" s="1"/>
    </row>
    <row r="9" spans="5:13" ht="31.5" customHeight="1">
      <c r="H9" s="63">
        <v>46031</v>
      </c>
      <c r="I9" s="35" t="s">
        <v>15</v>
      </c>
      <c r="J9" s="35" t="s">
        <v>16</v>
      </c>
      <c r="K9" s="59">
        <v>-300</v>
      </c>
      <c r="L9" s="33">
        <f t="shared" si="0"/>
        <v>1385</v>
      </c>
    </row>
    <row r="10" spans="5:13" ht="31.5" customHeight="1">
      <c r="H10" s="63">
        <v>46063</v>
      </c>
      <c r="I10" s="35" t="s">
        <v>15</v>
      </c>
      <c r="J10" s="35" t="s">
        <v>16</v>
      </c>
      <c r="K10" s="59">
        <v>-200</v>
      </c>
      <c r="L10" s="33">
        <f t="shared" si="0"/>
        <v>1185</v>
      </c>
    </row>
    <row r="11" spans="5:13" ht="31.5" customHeight="1">
      <c r="H11" s="63"/>
      <c r="I11" s="32"/>
      <c r="J11" s="35"/>
      <c r="K11" s="59"/>
      <c r="L11" s="36"/>
    </row>
    <row r="12" spans="5:13" ht="31.5" customHeight="1">
      <c r="H12" s="84" t="s">
        <v>17</v>
      </c>
      <c r="I12" s="85"/>
      <c r="J12" s="86"/>
      <c r="K12" s="37">
        <f>SUM(K3:K11)</f>
        <v>-3000.7</v>
      </c>
      <c r="L12" s="38"/>
    </row>
  </sheetData>
  <mergeCells count="2">
    <mergeCell ref="H1:L1"/>
    <mergeCell ref="H12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8373-1800-4E7B-8EAC-60CF4538AED0}">
  <dimension ref="A1:X58"/>
  <sheetViews>
    <sheetView tabSelected="1" zoomScale="80" zoomScaleNormal="80" workbookViewId="0">
      <selection activeCell="J13" sqref="J13"/>
    </sheetView>
  </sheetViews>
  <sheetFormatPr baseColWidth="10" defaultColWidth="9.1640625" defaultRowHeight="18"/>
  <cols>
    <col min="1" max="1" width="11.5" style="4" customWidth="1"/>
    <col min="2" max="2" width="60.1640625" style="4" customWidth="1"/>
    <col min="3" max="3" width="15" style="4" customWidth="1"/>
    <col min="4" max="4" width="13.6640625" style="4" customWidth="1"/>
    <col min="5" max="5" width="13.83203125" style="4" customWidth="1"/>
    <col min="6" max="6" width="13" style="4" customWidth="1"/>
    <col min="7" max="7" width="13.5" style="4" customWidth="1"/>
    <col min="8" max="8" width="14.1640625" style="4" bestFit="1" customWidth="1"/>
    <col min="9" max="9" width="11.83203125" style="4" customWidth="1"/>
    <col min="10" max="11" width="12.5" style="4" customWidth="1"/>
    <col min="12" max="12" width="10.83203125" style="4" customWidth="1"/>
    <col min="13" max="13" width="12" style="4" customWidth="1"/>
    <col min="14" max="16" width="10.5" style="4" customWidth="1"/>
    <col min="17" max="19" width="10.5" style="4" hidden="1" customWidth="1"/>
    <col min="20" max="20" width="16" style="55" customWidth="1"/>
    <col min="21" max="21" width="16.5" style="55" customWidth="1"/>
    <col min="22" max="22" width="21.5" style="25" customWidth="1"/>
    <col min="23" max="23" width="10" style="4" bestFit="1" customWidth="1"/>
    <col min="24" max="16384" width="9.1640625" style="4"/>
  </cols>
  <sheetData>
    <row r="1" spans="1:22" ht="59.25" customHeight="1">
      <c r="A1" s="87" t="s">
        <v>7</v>
      </c>
      <c r="B1" s="87"/>
      <c r="C1" s="87"/>
      <c r="D1" s="2">
        <f>'[1]Daily Expense on Dec-2025'!$T$41</f>
        <v>586.00000000000011</v>
      </c>
      <c r="E1" s="3"/>
      <c r="T1" s="48" t="s">
        <v>0</v>
      </c>
      <c r="U1" s="49" t="s">
        <v>1</v>
      </c>
      <c r="V1" s="7" t="s">
        <v>2</v>
      </c>
    </row>
    <row r="2" spans="1:22" ht="59.25" customHeight="1">
      <c r="A2" s="80" t="s">
        <v>95</v>
      </c>
      <c r="B2" s="80" t="s">
        <v>96</v>
      </c>
      <c r="C2" s="80" t="s">
        <v>97</v>
      </c>
      <c r="D2" s="2"/>
      <c r="E2" s="3" t="s">
        <v>98</v>
      </c>
      <c r="F2" s="3" t="s">
        <v>98</v>
      </c>
      <c r="G2" s="3" t="s">
        <v>98</v>
      </c>
      <c r="H2" s="3" t="s">
        <v>98</v>
      </c>
      <c r="I2" s="3" t="s">
        <v>98</v>
      </c>
      <c r="J2" s="3" t="s">
        <v>98</v>
      </c>
      <c r="K2" s="3" t="s">
        <v>98</v>
      </c>
      <c r="L2" s="3" t="s">
        <v>98</v>
      </c>
      <c r="M2" s="3" t="s">
        <v>98</v>
      </c>
      <c r="N2" s="3" t="s">
        <v>98</v>
      </c>
      <c r="O2" s="3" t="s">
        <v>98</v>
      </c>
      <c r="P2" s="3" t="s">
        <v>98</v>
      </c>
      <c r="T2" s="48"/>
      <c r="U2" s="49"/>
      <c r="V2" s="7"/>
    </row>
    <row r="3" spans="1:22" ht="23.25" customHeight="1">
      <c r="A3" s="8">
        <v>46023</v>
      </c>
      <c r="B3" s="9" t="s">
        <v>8</v>
      </c>
      <c r="C3" s="10">
        <f>U3</f>
        <v>-24.04</v>
      </c>
      <c r="D3" s="11"/>
      <c r="E3" s="12">
        <v>-8.0500000000000007</v>
      </c>
      <c r="F3" s="12">
        <v>-1.5</v>
      </c>
      <c r="G3" s="12">
        <v>-10</v>
      </c>
      <c r="H3" s="12">
        <v>-1</v>
      </c>
      <c r="I3" s="12">
        <v>-3.49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/>
      <c r="R3" s="12"/>
      <c r="S3" s="12"/>
      <c r="T3" s="50">
        <v>0</v>
      </c>
      <c r="U3" s="39">
        <f>SUM(E3:T3)</f>
        <v>-24.04</v>
      </c>
      <c r="V3" s="13">
        <f>D1+U3</f>
        <v>561.96000000000015</v>
      </c>
    </row>
    <row r="4" spans="1:22" ht="21.75" customHeight="1">
      <c r="A4" s="8">
        <v>46024</v>
      </c>
      <c r="B4" s="14" t="s">
        <v>20</v>
      </c>
      <c r="C4" s="10">
        <f>U4</f>
        <v>-20.21</v>
      </c>
      <c r="E4" s="12">
        <v>-1.25</v>
      </c>
      <c r="F4" s="12">
        <v>-4.5</v>
      </c>
      <c r="G4" s="12">
        <v>-3.49</v>
      </c>
      <c r="H4" s="12">
        <v>-5.73</v>
      </c>
      <c r="I4" s="12">
        <v>-5.24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/>
      <c r="R4" s="12"/>
      <c r="S4" s="12"/>
      <c r="T4" s="51">
        <v>0</v>
      </c>
      <c r="U4" s="52">
        <f>SUM(E4:P4)</f>
        <v>-20.21</v>
      </c>
      <c r="V4" s="15">
        <f>V3+U4</f>
        <v>541.75000000000011</v>
      </c>
    </row>
    <row r="5" spans="1:22" ht="21.75" customHeight="1">
      <c r="A5" s="8">
        <v>46025</v>
      </c>
      <c r="B5" s="14" t="s">
        <v>21</v>
      </c>
      <c r="C5" s="10">
        <f>U5</f>
        <v>-21.47</v>
      </c>
      <c r="E5" s="12">
        <v>-2.99</v>
      </c>
      <c r="F5" s="12">
        <v>-10</v>
      </c>
      <c r="G5" s="12">
        <v>-8.48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/>
      <c r="R5" s="12"/>
      <c r="S5" s="12"/>
      <c r="T5" s="51">
        <v>0</v>
      </c>
      <c r="U5" s="52">
        <f>SUM(E5:P5)</f>
        <v>-21.47</v>
      </c>
      <c r="V5" s="15">
        <f>V4+U5</f>
        <v>520.28000000000009</v>
      </c>
    </row>
    <row r="6" spans="1:22" ht="21.75" customHeight="1">
      <c r="A6" s="8">
        <v>46026</v>
      </c>
      <c r="B6" s="14" t="s">
        <v>22</v>
      </c>
      <c r="C6" s="10">
        <f>U6</f>
        <v>-78.23</v>
      </c>
      <c r="E6" s="12">
        <v>-3.49</v>
      </c>
      <c r="F6" s="12">
        <v>-1.9</v>
      </c>
      <c r="G6" s="12">
        <v>-24</v>
      </c>
      <c r="H6" s="12">
        <v>-46.35</v>
      </c>
      <c r="I6" s="12">
        <v>-2.4900000000000002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/>
      <c r="R6" s="12"/>
      <c r="S6" s="12"/>
      <c r="T6" s="51">
        <v>0</v>
      </c>
      <c r="U6" s="52">
        <f>SUM(E6:L6)</f>
        <v>-78.23</v>
      </c>
      <c r="V6" s="15">
        <f>V5+U6</f>
        <v>442.05000000000007</v>
      </c>
    </row>
    <row r="7" spans="1:22" ht="21.75" customHeight="1">
      <c r="A7" s="8">
        <v>46027</v>
      </c>
      <c r="B7" s="14" t="s">
        <v>4</v>
      </c>
      <c r="C7" s="10">
        <f>T7</f>
        <v>200</v>
      </c>
      <c r="E7" s="57">
        <v>200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/>
      <c r="R7" s="12"/>
      <c r="S7" s="12"/>
      <c r="T7" s="51">
        <f>SUM(E7:I7)</f>
        <v>200</v>
      </c>
      <c r="U7" s="52">
        <v>0</v>
      </c>
      <c r="V7" s="15">
        <f>V6+T7</f>
        <v>642.05000000000007</v>
      </c>
    </row>
    <row r="8" spans="1:22" ht="21.75" customHeight="1">
      <c r="A8" s="8">
        <v>46027</v>
      </c>
      <c r="B8" s="14" t="s">
        <v>23</v>
      </c>
      <c r="C8" s="16">
        <f>U8</f>
        <v>-179.1</v>
      </c>
      <c r="E8" s="12">
        <v>-2.99</v>
      </c>
      <c r="F8" s="12">
        <v>-43.65</v>
      </c>
      <c r="G8" s="12">
        <v>-12</v>
      </c>
      <c r="H8" s="12">
        <v>-15</v>
      </c>
      <c r="I8" s="12">
        <v>-15</v>
      </c>
      <c r="J8" s="12">
        <v>-2.2400000000000002</v>
      </c>
      <c r="K8" s="12">
        <v>-1.25</v>
      </c>
      <c r="L8" s="12">
        <v>-4.4800000000000004</v>
      </c>
      <c r="M8" s="12">
        <v>-2.4900000000000002</v>
      </c>
      <c r="N8" s="12">
        <v>-80</v>
      </c>
      <c r="O8" s="12">
        <v>0</v>
      </c>
      <c r="P8" s="12">
        <v>0</v>
      </c>
      <c r="Q8" s="12"/>
      <c r="R8" s="12"/>
      <c r="S8" s="12"/>
      <c r="T8" s="51">
        <v>0</v>
      </c>
      <c r="U8" s="52">
        <f>SUM(E8:N8)</f>
        <v>-179.1</v>
      </c>
      <c r="V8" s="15">
        <f>V7+U8</f>
        <v>462.95000000000005</v>
      </c>
    </row>
    <row r="9" spans="1:22" ht="21.75" customHeight="1">
      <c r="A9" s="8">
        <v>46028</v>
      </c>
      <c r="B9" s="14" t="s">
        <v>24</v>
      </c>
      <c r="C9" s="16">
        <f>U9</f>
        <v>-26.93</v>
      </c>
      <c r="D9" s="17"/>
      <c r="E9" s="12">
        <v>-2.99</v>
      </c>
      <c r="F9" s="12">
        <v>-4.3499999999999996</v>
      </c>
      <c r="G9" s="12">
        <v>-2.12</v>
      </c>
      <c r="H9" s="12">
        <v>-10</v>
      </c>
      <c r="I9" s="12">
        <v>-7.47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/>
      <c r="R9" s="12"/>
      <c r="S9" s="12"/>
      <c r="T9" s="51">
        <v>0</v>
      </c>
      <c r="U9" s="52">
        <f>SUM(E9:L9)</f>
        <v>-26.93</v>
      </c>
      <c r="V9" s="15">
        <f>V8+U9</f>
        <v>436.02000000000004</v>
      </c>
    </row>
    <row r="10" spans="1:22" ht="21.75" customHeight="1">
      <c r="A10" s="8">
        <v>46029</v>
      </c>
      <c r="B10" s="18" t="s">
        <v>25</v>
      </c>
      <c r="C10" s="16">
        <f>U10</f>
        <v>-162.57999999999998</v>
      </c>
      <c r="D10" s="20"/>
      <c r="E10" s="12">
        <v>-3.48</v>
      </c>
      <c r="F10" s="12">
        <v>-5.72</v>
      </c>
      <c r="G10" s="12">
        <v>-50</v>
      </c>
      <c r="H10" s="12">
        <v>-7.96</v>
      </c>
      <c r="I10" s="12">
        <v>-2.2400000000000002</v>
      </c>
      <c r="J10" s="12">
        <v>-3.9</v>
      </c>
      <c r="K10" s="12">
        <v>-18</v>
      </c>
      <c r="L10" s="12">
        <v>-40.65</v>
      </c>
      <c r="M10" s="12">
        <v>-9.4</v>
      </c>
      <c r="N10" s="12">
        <v>-21.23</v>
      </c>
      <c r="O10" s="12">
        <v>0</v>
      </c>
      <c r="P10" s="12">
        <v>0</v>
      </c>
      <c r="Q10" s="12"/>
      <c r="R10" s="12"/>
      <c r="S10" s="12"/>
      <c r="T10" s="51">
        <v>0</v>
      </c>
      <c r="U10" s="52">
        <f>SUM(E10:N10)</f>
        <v>-162.57999999999998</v>
      </c>
      <c r="V10" s="15">
        <f>V9+U10</f>
        <v>273.44000000000005</v>
      </c>
    </row>
    <row r="11" spans="1:22" ht="21.75" customHeight="1">
      <c r="A11" s="8">
        <v>46030</v>
      </c>
      <c r="B11" s="18" t="s">
        <v>26</v>
      </c>
      <c r="C11" s="16">
        <f>U11</f>
        <v>-3.99</v>
      </c>
      <c r="D11" s="20"/>
      <c r="E11" s="12">
        <v>-2.99</v>
      </c>
      <c r="F11" s="12">
        <v>-1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/>
      <c r="R11" s="12"/>
      <c r="S11" s="12"/>
      <c r="T11" s="51">
        <v>0</v>
      </c>
      <c r="U11" s="52">
        <f>SUM(E11:L11)</f>
        <v>-3.99</v>
      </c>
      <c r="V11" s="15">
        <f>V10+U11</f>
        <v>269.45000000000005</v>
      </c>
    </row>
    <row r="12" spans="1:22" ht="21.75" customHeight="1">
      <c r="A12" s="8">
        <v>46031</v>
      </c>
      <c r="B12" s="9" t="s">
        <v>51</v>
      </c>
      <c r="C12" s="10">
        <v>943</v>
      </c>
      <c r="D12" s="20"/>
      <c r="E12" s="57">
        <v>900</v>
      </c>
      <c r="F12" s="57">
        <v>300</v>
      </c>
      <c r="G12" s="57">
        <v>120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/>
      <c r="R12" s="12"/>
      <c r="S12" s="12"/>
      <c r="T12" s="51">
        <f>SUM(E12:N12)</f>
        <v>1320</v>
      </c>
      <c r="U12" s="52">
        <v>0</v>
      </c>
      <c r="V12" s="15">
        <f>V11+T12</f>
        <v>1589.45</v>
      </c>
    </row>
    <row r="13" spans="1:22" ht="21.75" customHeight="1">
      <c r="A13" s="8">
        <v>46031</v>
      </c>
      <c r="B13" s="9" t="s">
        <v>27</v>
      </c>
      <c r="C13" s="10">
        <f>U13</f>
        <v>-1077.58</v>
      </c>
      <c r="D13" s="20"/>
      <c r="E13" s="12">
        <v>-2.99</v>
      </c>
      <c r="F13" s="12">
        <v>-3.98</v>
      </c>
      <c r="G13" s="12">
        <v>-259.11</v>
      </c>
      <c r="H13" s="12">
        <v>-80</v>
      </c>
      <c r="I13" s="58">
        <v>-404</v>
      </c>
      <c r="J13" s="58">
        <v>-300</v>
      </c>
      <c r="K13" s="12">
        <v>-27.5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/>
      <c r="R13" s="12"/>
      <c r="S13" s="12"/>
      <c r="T13" s="51">
        <v>0</v>
      </c>
      <c r="U13" s="52">
        <f>SUM(E13:N13)</f>
        <v>-1077.58</v>
      </c>
      <c r="V13" s="15">
        <f>V12+U13</f>
        <v>511.87000000000012</v>
      </c>
    </row>
    <row r="14" spans="1:22" ht="21.75" customHeight="1">
      <c r="A14" s="8">
        <v>46032</v>
      </c>
      <c r="B14" s="9" t="s">
        <v>28</v>
      </c>
      <c r="C14" s="10">
        <f>U14</f>
        <v>-159.89000000000001</v>
      </c>
      <c r="D14" s="20"/>
      <c r="E14" s="12">
        <v>-1.49</v>
      </c>
      <c r="F14" s="12">
        <v>-1.5</v>
      </c>
      <c r="G14" s="12">
        <v>-65</v>
      </c>
      <c r="H14" s="12">
        <v>-54</v>
      </c>
      <c r="I14" s="12">
        <v>-9.2100000000000009</v>
      </c>
      <c r="J14" s="12">
        <v>-1.99</v>
      </c>
      <c r="K14" s="12">
        <v>-19.600000000000001</v>
      </c>
      <c r="L14" s="12">
        <v>-0.5</v>
      </c>
      <c r="M14" s="12">
        <v>-3.11</v>
      </c>
      <c r="N14" s="12">
        <v>-3.49</v>
      </c>
      <c r="O14" s="12">
        <v>0</v>
      </c>
      <c r="P14" s="12">
        <v>0</v>
      </c>
      <c r="Q14" s="12"/>
      <c r="R14" s="12"/>
      <c r="S14" s="12"/>
      <c r="T14" s="51">
        <v>0</v>
      </c>
      <c r="U14" s="52">
        <f>SUM(E14:N14)</f>
        <v>-159.89000000000001</v>
      </c>
      <c r="V14" s="15">
        <f t="shared" ref="V14:V15" si="0">V13+U14</f>
        <v>351.98000000000013</v>
      </c>
    </row>
    <row r="15" spans="1:22" ht="21.75" customHeight="1">
      <c r="A15" s="8">
        <v>46033</v>
      </c>
      <c r="B15" s="9" t="s">
        <v>29</v>
      </c>
      <c r="C15" s="10">
        <f>U15</f>
        <v>-99.490000000000009</v>
      </c>
      <c r="D15" s="22"/>
      <c r="E15" s="12">
        <v>-47</v>
      </c>
      <c r="F15" s="12">
        <v>-2.4900000000000002</v>
      </c>
      <c r="G15" s="12">
        <v>-50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/>
      <c r="R15" s="12"/>
      <c r="S15" s="12"/>
      <c r="T15" s="51">
        <v>0</v>
      </c>
      <c r="U15" s="52">
        <f>SUM(E15:N15)</f>
        <v>-99.490000000000009</v>
      </c>
      <c r="V15" s="15">
        <f t="shared" si="0"/>
        <v>252.49000000000012</v>
      </c>
    </row>
    <row r="16" spans="1:22" ht="20.25" customHeight="1">
      <c r="A16" s="8">
        <v>46034</v>
      </c>
      <c r="B16" s="9" t="s">
        <v>30</v>
      </c>
      <c r="C16" s="10">
        <f>T16</f>
        <v>15</v>
      </c>
      <c r="D16" s="23"/>
      <c r="E16" s="12">
        <v>15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/>
      <c r="R16" s="12"/>
      <c r="S16" s="12"/>
      <c r="T16" s="53">
        <f>SUM(E16:P16)</f>
        <v>15</v>
      </c>
      <c r="U16" s="52">
        <v>0</v>
      </c>
      <c r="V16" s="15">
        <f>T16+V15</f>
        <v>267.49000000000012</v>
      </c>
    </row>
    <row r="17" spans="1:24" ht="20.25" customHeight="1">
      <c r="A17" s="8">
        <v>46034</v>
      </c>
      <c r="B17" s="9" t="s">
        <v>31</v>
      </c>
      <c r="C17" s="10">
        <f>U17</f>
        <v>-48.460000000000008</v>
      </c>
      <c r="D17" s="23"/>
      <c r="E17" s="12">
        <v>-1.74</v>
      </c>
      <c r="F17" s="12">
        <v>-1.49</v>
      </c>
      <c r="G17" s="12">
        <v>-15</v>
      </c>
      <c r="H17" s="12">
        <v>-26</v>
      </c>
      <c r="I17" s="12">
        <v>-4.2300000000000004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/>
      <c r="R17" s="12"/>
      <c r="S17" s="12"/>
      <c r="T17" s="53">
        <v>0</v>
      </c>
      <c r="U17" s="52">
        <f>SUM(E17:N17)</f>
        <v>-48.460000000000008</v>
      </c>
      <c r="V17" s="15">
        <f>V16+U17</f>
        <v>219.03000000000011</v>
      </c>
    </row>
    <row r="18" spans="1:24" ht="20.25" customHeight="1">
      <c r="A18" s="8">
        <v>46035</v>
      </c>
      <c r="B18" s="9" t="s">
        <v>32</v>
      </c>
      <c r="C18" s="10">
        <f>T18</f>
        <v>16</v>
      </c>
      <c r="D18" s="23"/>
      <c r="E18" s="12">
        <v>16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/>
      <c r="R18" s="12"/>
      <c r="S18" s="12"/>
      <c r="T18" s="53">
        <f>E18</f>
        <v>16</v>
      </c>
      <c r="U18" s="52">
        <v>0</v>
      </c>
      <c r="V18" s="15">
        <f>V17+T18</f>
        <v>235.03000000000011</v>
      </c>
    </row>
    <row r="19" spans="1:24" ht="20.25" customHeight="1">
      <c r="A19" s="8">
        <v>46035</v>
      </c>
      <c r="B19" s="9" t="s">
        <v>33</v>
      </c>
      <c r="C19" s="10">
        <f>U19</f>
        <v>-16.16</v>
      </c>
      <c r="D19" s="23"/>
      <c r="E19" s="12">
        <v>-3.73</v>
      </c>
      <c r="F19" s="12">
        <v>-4.33</v>
      </c>
      <c r="G19" s="12">
        <v>-8.1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/>
      <c r="R19" s="12"/>
      <c r="S19" s="12"/>
      <c r="T19" s="53">
        <v>0</v>
      </c>
      <c r="U19" s="52">
        <f>SUM(E19:N19)</f>
        <v>-16.16</v>
      </c>
      <c r="V19" s="15">
        <f>V18+U19</f>
        <v>218.87000000000012</v>
      </c>
    </row>
    <row r="20" spans="1:24" ht="20.25" customHeight="1">
      <c r="A20" s="8">
        <v>46036</v>
      </c>
      <c r="B20" s="9" t="s">
        <v>34</v>
      </c>
      <c r="C20" s="10">
        <f>U20</f>
        <v>-105.97999999999999</v>
      </c>
      <c r="D20" s="23"/>
      <c r="E20" s="12">
        <v>-2.99</v>
      </c>
      <c r="F20" s="57">
        <v>-101</v>
      </c>
      <c r="G20" s="12">
        <v>-1.99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/>
      <c r="R20" s="12"/>
      <c r="S20" s="12"/>
      <c r="T20" s="53">
        <v>0</v>
      </c>
      <c r="U20" s="52">
        <f>SUM(E20:N20)</f>
        <v>-105.97999999999999</v>
      </c>
      <c r="V20" s="15">
        <f>V19+U20</f>
        <v>112.89000000000013</v>
      </c>
    </row>
    <row r="21" spans="1:24" ht="20.25" customHeight="1">
      <c r="A21" s="8">
        <v>46037</v>
      </c>
      <c r="B21" s="9" t="s">
        <v>35</v>
      </c>
      <c r="C21" s="10">
        <f>U21</f>
        <v>-17.93</v>
      </c>
      <c r="D21" s="23"/>
      <c r="E21" s="12">
        <v>-2.99</v>
      </c>
      <c r="F21" s="12">
        <v>-0.75</v>
      </c>
      <c r="G21" s="12">
        <v>-1.49</v>
      </c>
      <c r="H21" s="12">
        <v>-1</v>
      </c>
      <c r="I21" s="12">
        <v>-4.9800000000000004</v>
      </c>
      <c r="J21" s="12">
        <v>-1.5</v>
      </c>
      <c r="K21" s="12">
        <v>-5.22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/>
      <c r="R21" s="12"/>
      <c r="S21" s="12"/>
      <c r="T21" s="53">
        <v>0</v>
      </c>
      <c r="U21" s="52">
        <f>SUM(E21:P21)</f>
        <v>-17.93</v>
      </c>
      <c r="V21" s="15">
        <f t="shared" ref="V21:V30" si="1">V20+U21</f>
        <v>94.960000000000122</v>
      </c>
    </row>
    <row r="22" spans="1:24" ht="20.25" customHeight="1">
      <c r="A22" s="8">
        <v>46038</v>
      </c>
      <c r="B22" s="9" t="s">
        <v>36</v>
      </c>
      <c r="C22" s="10">
        <f>T22</f>
        <v>1.5</v>
      </c>
      <c r="D22" s="23"/>
      <c r="E22" s="12">
        <v>1.5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/>
      <c r="R22" s="12"/>
      <c r="S22" s="12"/>
      <c r="T22" s="53">
        <f>E22</f>
        <v>1.5</v>
      </c>
      <c r="U22" s="52">
        <v>0</v>
      </c>
      <c r="V22" s="15">
        <f>V21+T22</f>
        <v>96.460000000000122</v>
      </c>
    </row>
    <row r="23" spans="1:24" ht="20.25" customHeight="1">
      <c r="A23" s="8">
        <v>46038</v>
      </c>
      <c r="B23" s="9" t="s">
        <v>37</v>
      </c>
      <c r="C23" s="10">
        <f>U23</f>
        <v>-17.940000000000001</v>
      </c>
      <c r="D23" s="23"/>
      <c r="E23" s="12">
        <v>-3</v>
      </c>
      <c r="F23" s="12">
        <v>-2.99</v>
      </c>
      <c r="G23" s="12">
        <v>-2.99</v>
      </c>
      <c r="H23" s="12">
        <v>-8.9600000000000009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/>
      <c r="R23" s="12"/>
      <c r="S23" s="12"/>
      <c r="T23" s="53">
        <v>0</v>
      </c>
      <c r="U23" s="54">
        <f>SUM(E23:I23)+J23+K23+L23+M23+N23</f>
        <v>-17.940000000000001</v>
      </c>
      <c r="V23" s="15">
        <f>V22+U23</f>
        <v>78.520000000000124</v>
      </c>
      <c r="X23" s="17"/>
    </row>
    <row r="24" spans="1:24" ht="20.25" customHeight="1">
      <c r="A24" s="8">
        <v>46039</v>
      </c>
      <c r="B24" s="9" t="s">
        <v>40</v>
      </c>
      <c r="C24" s="10">
        <f>U24</f>
        <v>-31.849999999999998</v>
      </c>
      <c r="D24" s="23"/>
      <c r="E24" s="12">
        <v>-2.4900000000000002</v>
      </c>
      <c r="F24" s="12">
        <v>-3.48</v>
      </c>
      <c r="G24" s="12">
        <v>-10.45</v>
      </c>
      <c r="H24" s="12">
        <v>-7.22</v>
      </c>
      <c r="I24" s="12">
        <v>-6.47</v>
      </c>
      <c r="J24" s="12">
        <v>-1.74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/>
      <c r="R24" s="12"/>
      <c r="S24" s="12"/>
      <c r="T24" s="53">
        <v>0</v>
      </c>
      <c r="U24" s="54">
        <f>SUM(E24:I24)+J24+K24+L24+M24+N24</f>
        <v>-31.849999999999998</v>
      </c>
      <c r="V24" s="15">
        <f>V23+U24</f>
        <v>46.67000000000013</v>
      </c>
      <c r="X24" s="17"/>
    </row>
    <row r="25" spans="1:24" ht="20.25" customHeight="1">
      <c r="A25" s="8">
        <v>46040</v>
      </c>
      <c r="B25" s="9" t="s">
        <v>38</v>
      </c>
      <c r="C25" s="10">
        <f t="shared" ref="C25:C41" si="2">T25</f>
        <v>100</v>
      </c>
      <c r="D25" s="24"/>
      <c r="E25" s="57">
        <v>100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/>
      <c r="R25" s="12"/>
      <c r="S25" s="12"/>
      <c r="T25" s="53">
        <f>E25</f>
        <v>100</v>
      </c>
      <c r="U25" s="54">
        <v>0</v>
      </c>
      <c r="V25" s="15">
        <f>V24+T25</f>
        <v>146.67000000000013</v>
      </c>
    </row>
    <row r="26" spans="1:24" ht="20.25" customHeight="1">
      <c r="A26" s="8">
        <v>46040</v>
      </c>
      <c r="B26" s="9" t="s">
        <v>39</v>
      </c>
      <c r="C26" s="10">
        <f>U26</f>
        <v>-19.43</v>
      </c>
      <c r="D26" s="24"/>
      <c r="E26" s="12">
        <v>-3</v>
      </c>
      <c r="F26" s="12">
        <v>-11.45</v>
      </c>
      <c r="G26" s="12">
        <v>-4.9800000000000004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/>
      <c r="R26" s="12"/>
      <c r="S26" s="12"/>
      <c r="T26" s="53">
        <v>0</v>
      </c>
      <c r="U26" s="54">
        <f t="shared" ref="U26:U30" si="3">SUM(E26:I26)+J26+K26+L26+M26+N26</f>
        <v>-19.43</v>
      </c>
      <c r="V26" s="15">
        <f t="shared" ref="V26" si="4">V25+U26</f>
        <v>127.24000000000012</v>
      </c>
    </row>
    <row r="27" spans="1:24" ht="20.25" customHeight="1">
      <c r="A27" s="8">
        <v>46041</v>
      </c>
      <c r="B27" s="9" t="s">
        <v>41</v>
      </c>
      <c r="C27" s="10">
        <f>U27</f>
        <v>-26.17</v>
      </c>
      <c r="D27" s="24"/>
      <c r="E27" s="12">
        <v>-2.99</v>
      </c>
      <c r="F27" s="12">
        <v>-15</v>
      </c>
      <c r="G27" s="12">
        <v>-3.98</v>
      </c>
      <c r="H27" s="12">
        <v>-4.2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/>
      <c r="R27" s="12"/>
      <c r="S27" s="12"/>
      <c r="T27" s="53">
        <v>0</v>
      </c>
      <c r="U27" s="54">
        <f t="shared" si="3"/>
        <v>-26.17</v>
      </c>
      <c r="V27" s="15">
        <f>V26+U27</f>
        <v>101.07000000000012</v>
      </c>
    </row>
    <row r="28" spans="1:24" ht="20.25" customHeight="1">
      <c r="A28" s="8">
        <v>46042</v>
      </c>
      <c r="B28" s="9" t="s">
        <v>42</v>
      </c>
      <c r="C28" s="10">
        <f>U28</f>
        <v>-36.729999999999997</v>
      </c>
      <c r="D28" s="24"/>
      <c r="E28" s="12">
        <v>-3</v>
      </c>
      <c r="F28" s="12">
        <v>-4.2699999999999996</v>
      </c>
      <c r="G28" s="12">
        <v>-20</v>
      </c>
      <c r="H28" s="12">
        <v>-1.5</v>
      </c>
      <c r="I28" s="12">
        <v>-6.96</v>
      </c>
      <c r="J28" s="12">
        <v>-1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/>
      <c r="R28" s="12"/>
      <c r="S28" s="12"/>
      <c r="T28" s="53">
        <v>0</v>
      </c>
      <c r="U28" s="54">
        <f t="shared" si="3"/>
        <v>-36.729999999999997</v>
      </c>
      <c r="V28" s="15">
        <f t="shared" si="1"/>
        <v>64.340000000000117</v>
      </c>
      <c r="W28" s="17"/>
    </row>
    <row r="29" spans="1:24" ht="20.25" customHeight="1">
      <c r="A29" s="8">
        <v>46043</v>
      </c>
      <c r="B29" s="9" t="s">
        <v>44</v>
      </c>
      <c r="C29" s="10">
        <f>U29</f>
        <v>-7.2</v>
      </c>
      <c r="D29" s="24"/>
      <c r="E29" s="12">
        <v>-1.49</v>
      </c>
      <c r="F29" s="12">
        <v>-5.71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/>
      <c r="R29" s="12"/>
      <c r="S29" s="12"/>
      <c r="T29" s="53">
        <v>0</v>
      </c>
      <c r="U29" s="54">
        <f t="shared" si="3"/>
        <v>-7.2</v>
      </c>
      <c r="V29" s="15">
        <f t="shared" si="1"/>
        <v>57.140000000000114</v>
      </c>
      <c r="W29" s="17"/>
    </row>
    <row r="30" spans="1:24" ht="20.25" customHeight="1">
      <c r="A30" s="8">
        <v>46044</v>
      </c>
      <c r="B30" s="9" t="s">
        <v>43</v>
      </c>
      <c r="C30" s="10">
        <f>U30</f>
        <v>-11.18</v>
      </c>
      <c r="D30" s="24"/>
      <c r="E30" s="12">
        <v>-2.98</v>
      </c>
      <c r="F30" s="12">
        <v>-1</v>
      </c>
      <c r="G30" s="12">
        <v>-7.2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/>
      <c r="R30" s="12"/>
      <c r="S30" s="12"/>
      <c r="T30" s="53">
        <v>0</v>
      </c>
      <c r="U30" s="54">
        <f t="shared" si="3"/>
        <v>-11.18</v>
      </c>
      <c r="V30" s="15">
        <f t="shared" si="1"/>
        <v>45.960000000000115</v>
      </c>
    </row>
    <row r="31" spans="1:24" ht="20.25" customHeight="1">
      <c r="A31" s="8">
        <v>46045</v>
      </c>
      <c r="B31" s="9" t="s">
        <v>45</v>
      </c>
      <c r="C31" s="10">
        <v>943</v>
      </c>
      <c r="D31" s="24"/>
      <c r="E31" s="12">
        <v>500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/>
      <c r="R31" s="12"/>
      <c r="S31" s="12"/>
      <c r="T31" s="53">
        <f>E31</f>
        <v>500</v>
      </c>
      <c r="U31" s="54">
        <v>0</v>
      </c>
      <c r="V31" s="15">
        <f>V30+T31</f>
        <v>545.96000000000015</v>
      </c>
    </row>
    <row r="32" spans="1:24" ht="20.25" customHeight="1">
      <c r="A32" s="8">
        <v>46045</v>
      </c>
      <c r="B32" s="9" t="s">
        <v>46</v>
      </c>
      <c r="C32" s="10">
        <f>U32</f>
        <v>-109.96000000000001</v>
      </c>
      <c r="D32" s="24"/>
      <c r="E32" s="12">
        <v>-0.25</v>
      </c>
      <c r="F32" s="12">
        <v>-3</v>
      </c>
      <c r="G32" s="57">
        <v>-50</v>
      </c>
      <c r="H32" s="57">
        <v>-50</v>
      </c>
      <c r="I32" s="12">
        <v>-2.98</v>
      </c>
      <c r="J32" s="12">
        <v>-3.73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/>
      <c r="R32" s="12"/>
      <c r="S32" s="12"/>
      <c r="T32" s="53">
        <v>0</v>
      </c>
      <c r="U32" s="54">
        <f t="shared" ref="U32" si="5">SUM(E32:I32)+J32+K32+L32+M32+N32</f>
        <v>-109.96000000000001</v>
      </c>
      <c r="V32" s="15">
        <f>V31+U32</f>
        <v>436.00000000000011</v>
      </c>
    </row>
    <row r="33" spans="1:24" ht="20.25" customHeight="1">
      <c r="A33" s="8">
        <v>46046</v>
      </c>
      <c r="B33" s="9" t="s">
        <v>49</v>
      </c>
      <c r="C33" s="10">
        <f>T33</f>
        <v>209.5</v>
      </c>
      <c r="D33" s="24"/>
      <c r="E33" s="12">
        <v>209.5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/>
      <c r="R33" s="12"/>
      <c r="S33" s="12"/>
      <c r="T33" s="53">
        <f>E33</f>
        <v>209.5</v>
      </c>
      <c r="U33" s="54">
        <v>0</v>
      </c>
      <c r="V33" s="15">
        <f>V32+T33</f>
        <v>645.50000000000011</v>
      </c>
    </row>
    <row r="34" spans="1:24" ht="20.25" customHeight="1">
      <c r="A34" s="8">
        <v>46046</v>
      </c>
      <c r="B34" s="9" t="s">
        <v>47</v>
      </c>
      <c r="C34" s="10">
        <f t="shared" ref="C34:C40" si="6">U34</f>
        <v>-12.6</v>
      </c>
      <c r="D34" s="24"/>
      <c r="E34" s="10">
        <v>-2.61</v>
      </c>
      <c r="F34" s="12">
        <v>-0.99</v>
      </c>
      <c r="G34" s="12">
        <v>-9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/>
      <c r="R34" s="12"/>
      <c r="S34" s="12"/>
      <c r="T34" s="53">
        <v>0</v>
      </c>
      <c r="U34" s="54">
        <f>SUM(E34:N34)</f>
        <v>-12.6</v>
      </c>
      <c r="V34" s="15">
        <f t="shared" ref="V34:V40" si="7">V33+U34</f>
        <v>632.90000000000009</v>
      </c>
    </row>
    <row r="35" spans="1:24" ht="20.25" customHeight="1">
      <c r="A35" s="8">
        <v>46047</v>
      </c>
      <c r="B35" s="9" t="s">
        <v>48</v>
      </c>
      <c r="C35" s="10">
        <f t="shared" si="6"/>
        <v>-65.05</v>
      </c>
      <c r="D35" s="24"/>
      <c r="E35" s="12">
        <v>-4.72</v>
      </c>
      <c r="F35" s="12">
        <v>-2.98</v>
      </c>
      <c r="G35" s="12">
        <v>-3.73</v>
      </c>
      <c r="H35" s="12">
        <v>-0.99</v>
      </c>
      <c r="I35" s="12">
        <v>-8.1999999999999993</v>
      </c>
      <c r="J35" s="12">
        <v>-9.94</v>
      </c>
      <c r="K35" s="12">
        <v>-1.49</v>
      </c>
      <c r="L35" s="12">
        <v>-24</v>
      </c>
      <c r="M35" s="12">
        <v>-9</v>
      </c>
      <c r="N35" s="12">
        <v>0</v>
      </c>
      <c r="O35" s="12">
        <v>0</v>
      </c>
      <c r="P35" s="12">
        <v>0</v>
      </c>
      <c r="Q35" s="12"/>
      <c r="R35" s="12"/>
      <c r="S35" s="12"/>
      <c r="T35" s="53">
        <v>0</v>
      </c>
      <c r="U35" s="54">
        <f>SUM(E35:I35)+J35+K35+L35+M35+N35</f>
        <v>-65.05</v>
      </c>
      <c r="V35" s="15">
        <f t="shared" si="7"/>
        <v>567.85000000000014</v>
      </c>
    </row>
    <row r="36" spans="1:24" ht="20.25" customHeight="1">
      <c r="A36" s="8">
        <v>46048</v>
      </c>
      <c r="B36" s="9" t="s">
        <v>59</v>
      </c>
      <c r="C36" s="10">
        <f t="shared" si="6"/>
        <v>-13.42</v>
      </c>
      <c r="D36" s="24"/>
      <c r="E36" s="12">
        <v>-2.98</v>
      </c>
      <c r="F36" s="12">
        <v>-10.44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/>
      <c r="R36" s="12"/>
      <c r="S36" s="12"/>
      <c r="T36" s="53">
        <v>0</v>
      </c>
      <c r="U36" s="54">
        <f>SUM(E36:I36)+J36+K36+L36+M36+N36</f>
        <v>-13.42</v>
      </c>
      <c r="V36" s="15">
        <f t="shared" si="7"/>
        <v>554.43000000000018</v>
      </c>
    </row>
    <row r="37" spans="1:24" ht="20.25" customHeight="1">
      <c r="A37" s="8">
        <v>46049</v>
      </c>
      <c r="B37" s="9" t="s">
        <v>60</v>
      </c>
      <c r="C37" s="10">
        <f t="shared" si="6"/>
        <v>-45</v>
      </c>
      <c r="D37" s="24"/>
      <c r="E37" s="12">
        <v>-2.98</v>
      </c>
      <c r="F37" s="12">
        <v>-4.58</v>
      </c>
      <c r="G37" s="12">
        <v>-1.99</v>
      </c>
      <c r="H37" s="12">
        <v>-1</v>
      </c>
      <c r="I37" s="12">
        <v>-4.7300000000000004</v>
      </c>
      <c r="J37" s="12">
        <v>-10</v>
      </c>
      <c r="K37" s="12">
        <v>-6.22</v>
      </c>
      <c r="L37" s="12">
        <v>-13.5</v>
      </c>
      <c r="M37" s="12">
        <v>0</v>
      </c>
      <c r="N37" s="12">
        <v>0</v>
      </c>
      <c r="O37" s="12">
        <v>0</v>
      </c>
      <c r="P37" s="12">
        <v>0</v>
      </c>
      <c r="Q37" s="12"/>
      <c r="R37" s="12"/>
      <c r="S37" s="12"/>
      <c r="T37" s="53">
        <v>0</v>
      </c>
      <c r="U37" s="54">
        <f>SUM(E37:I37)+J37+K37+L37+M37+N37</f>
        <v>-45</v>
      </c>
      <c r="V37" s="15">
        <f t="shared" si="7"/>
        <v>509.43000000000018</v>
      </c>
    </row>
    <row r="38" spans="1:24" ht="20.25" customHeight="1">
      <c r="A38" s="8">
        <v>46050</v>
      </c>
      <c r="B38" s="9" t="s">
        <v>61</v>
      </c>
      <c r="C38" s="10">
        <f t="shared" si="6"/>
        <v>-20.420000000000002</v>
      </c>
      <c r="D38" s="24"/>
      <c r="E38" s="12">
        <v>-2</v>
      </c>
      <c r="F38" s="12">
        <v>-2.94</v>
      </c>
      <c r="G38" s="12">
        <v>-3.48</v>
      </c>
      <c r="H38" s="12">
        <v>-12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/>
      <c r="R38" s="12"/>
      <c r="S38" s="12"/>
      <c r="T38" s="53">
        <v>0</v>
      </c>
      <c r="U38" s="54">
        <f>SUM(E38:P38)</f>
        <v>-20.420000000000002</v>
      </c>
      <c r="V38" s="15">
        <f t="shared" si="7"/>
        <v>489.01000000000016</v>
      </c>
    </row>
    <row r="39" spans="1:24" ht="20.25" customHeight="1">
      <c r="A39" s="8">
        <v>46051</v>
      </c>
      <c r="B39" s="9" t="s">
        <v>62</v>
      </c>
      <c r="C39" s="10">
        <f t="shared" si="6"/>
        <v>-19.91</v>
      </c>
      <c r="D39" s="24"/>
      <c r="E39" s="12">
        <v>-2.99</v>
      </c>
      <c r="F39" s="12">
        <v>-12.44</v>
      </c>
      <c r="G39" s="12">
        <v>-1</v>
      </c>
      <c r="H39" s="12">
        <v>-3.48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/>
      <c r="R39" s="12"/>
      <c r="S39" s="12"/>
      <c r="T39" s="53">
        <v>0</v>
      </c>
      <c r="U39" s="54">
        <f>SUM(E39:I39)+J39+K39+L39+M39+N39</f>
        <v>-19.91</v>
      </c>
      <c r="V39" s="15">
        <f t="shared" si="7"/>
        <v>469.10000000000014</v>
      </c>
    </row>
    <row r="40" spans="1:24" ht="20.25" customHeight="1">
      <c r="A40" s="8">
        <v>46052</v>
      </c>
      <c r="B40" s="9" t="s">
        <v>63</v>
      </c>
      <c r="C40" s="10">
        <f t="shared" si="6"/>
        <v>-78</v>
      </c>
      <c r="D40" s="24"/>
      <c r="E40" s="12">
        <v>-1.5</v>
      </c>
      <c r="F40" s="12">
        <v>-4.9800000000000004</v>
      </c>
      <c r="G40" s="12">
        <v>-7.72</v>
      </c>
      <c r="H40" s="12">
        <v>-63.8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/>
      <c r="R40" s="12"/>
      <c r="S40" s="12"/>
      <c r="T40" s="53">
        <v>0</v>
      </c>
      <c r="U40" s="54">
        <f>SUM(E40:S40)</f>
        <v>-78</v>
      </c>
      <c r="V40" s="15">
        <f t="shared" si="7"/>
        <v>391.10000000000014</v>
      </c>
    </row>
    <row r="41" spans="1:24">
      <c r="A41" s="65">
        <v>46053</v>
      </c>
      <c r="B41" s="66" t="s">
        <v>64</v>
      </c>
      <c r="C41" s="67">
        <f t="shared" si="2"/>
        <v>63</v>
      </c>
      <c r="E41" s="12">
        <v>24</v>
      </c>
      <c r="F41" s="12">
        <v>24</v>
      </c>
      <c r="G41" s="12">
        <v>15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/>
      <c r="R41" s="12"/>
      <c r="S41" s="12"/>
      <c r="T41" s="53">
        <f>SUM(E41:S41)</f>
        <v>63</v>
      </c>
      <c r="U41" s="54">
        <v>0</v>
      </c>
      <c r="V41" s="15">
        <f>V40+T41</f>
        <v>454.10000000000014</v>
      </c>
    </row>
    <row r="42" spans="1:24">
      <c r="A42" s="65">
        <v>46053</v>
      </c>
      <c r="B42" s="66" t="s">
        <v>65</v>
      </c>
      <c r="C42" s="67">
        <f>U42</f>
        <v>-162.29000000000002</v>
      </c>
      <c r="E42" s="12">
        <v>-1.5</v>
      </c>
      <c r="F42" s="12">
        <v>-10</v>
      </c>
      <c r="G42" s="12">
        <v>-6.45</v>
      </c>
      <c r="H42" s="12">
        <v>-19.91</v>
      </c>
      <c r="I42" s="12">
        <v>-8.2100000000000009</v>
      </c>
      <c r="J42" s="12">
        <v>-6.72</v>
      </c>
      <c r="K42" s="12">
        <v>-11.2</v>
      </c>
      <c r="L42" s="12">
        <v>-72</v>
      </c>
      <c r="M42" s="12">
        <v>-8.25</v>
      </c>
      <c r="N42" s="12">
        <v>-3.24</v>
      </c>
      <c r="O42" s="12">
        <v>-6.72</v>
      </c>
      <c r="P42" s="12">
        <v>-8.09</v>
      </c>
      <c r="Q42" s="12"/>
      <c r="R42" s="12"/>
      <c r="S42" s="12"/>
      <c r="T42" s="53">
        <v>0</v>
      </c>
      <c r="U42" s="54">
        <f>SUM(E42:S42)</f>
        <v>-162.29000000000002</v>
      </c>
      <c r="V42" s="15">
        <f>V41+U42</f>
        <v>291.81000000000012</v>
      </c>
      <c r="X42" s="17"/>
    </row>
    <row r="43" spans="1:24" s="25" customForma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5"/>
      <c r="U43" s="56"/>
      <c r="W43" s="4"/>
      <c r="X43" s="4"/>
    </row>
    <row r="44" spans="1:24" s="25" customFormat="1">
      <c r="A44" s="4"/>
      <c r="B44" s="4"/>
      <c r="C44" s="4"/>
      <c r="D44" s="4"/>
      <c r="E44" s="4"/>
      <c r="F44" s="4"/>
      <c r="G44" s="4"/>
      <c r="H44" s="4"/>
      <c r="I44" s="17"/>
      <c r="J44" s="17"/>
      <c r="K44" s="17"/>
      <c r="L44" s="4"/>
      <c r="M44" s="4"/>
      <c r="N44" s="4"/>
      <c r="O44" s="4"/>
      <c r="P44" s="4"/>
      <c r="Q44" s="4"/>
      <c r="R44" s="4"/>
      <c r="S44" s="4"/>
      <c r="T44" s="55"/>
      <c r="U44" s="70"/>
      <c r="W44" s="4"/>
      <c r="X44" s="4"/>
    </row>
    <row r="45" spans="1:24" s="25" customFormat="1">
      <c r="A45" s="4"/>
      <c r="B45" s="4"/>
      <c r="C45" s="4"/>
      <c r="D45" s="4"/>
      <c r="E45" s="69">
        <v>46053</v>
      </c>
      <c r="F45" s="4" t="s">
        <v>55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5"/>
      <c r="U45" s="56"/>
      <c r="W45" s="4"/>
      <c r="X45" s="4"/>
    </row>
    <row r="46" spans="1:24">
      <c r="F46" s="4" t="s">
        <v>54</v>
      </c>
      <c r="G46" s="68">
        <v>15</v>
      </c>
    </row>
    <row r="47" spans="1:24">
      <c r="F47" s="4" t="s">
        <v>58</v>
      </c>
      <c r="G47" s="68">
        <v>30</v>
      </c>
    </row>
    <row r="48" spans="1:24">
      <c r="F48" s="4" t="s">
        <v>52</v>
      </c>
      <c r="G48" s="68">
        <v>50</v>
      </c>
      <c r="T48" s="4"/>
    </row>
    <row r="49" spans="1:24">
      <c r="F49" s="4" t="s">
        <v>53</v>
      </c>
      <c r="G49" s="68">
        <v>50</v>
      </c>
      <c r="T49" s="4"/>
    </row>
    <row r="50" spans="1:24">
      <c r="E50" s="69">
        <v>46054</v>
      </c>
      <c r="F50" s="4" t="s">
        <v>54</v>
      </c>
      <c r="G50" s="68">
        <v>15</v>
      </c>
      <c r="T50" s="4"/>
    </row>
    <row r="51" spans="1:24" s="25" customFormat="1">
      <c r="A51" s="4"/>
      <c r="B51" s="4"/>
      <c r="C51" s="4"/>
      <c r="D51" s="4"/>
      <c r="E51" s="4"/>
      <c r="F51" s="4" t="s">
        <v>58</v>
      </c>
      <c r="G51" s="68">
        <v>30</v>
      </c>
      <c r="I51" s="17"/>
      <c r="J51" s="4"/>
      <c r="K51" s="17"/>
      <c r="L51" s="4"/>
      <c r="M51" s="4"/>
      <c r="N51" s="4"/>
      <c r="O51" s="4"/>
      <c r="P51" s="4"/>
      <c r="Q51" s="4"/>
      <c r="R51" s="4"/>
      <c r="S51" s="4"/>
      <c r="T51" s="55"/>
      <c r="U51" s="55"/>
      <c r="W51" s="4"/>
      <c r="X51" s="4"/>
    </row>
    <row r="52" spans="1:24">
      <c r="F52" s="4" t="s">
        <v>56</v>
      </c>
      <c r="G52" s="68">
        <v>50</v>
      </c>
    </row>
    <row r="53" spans="1:24">
      <c r="F53" s="4" t="s">
        <v>57</v>
      </c>
      <c r="G53" s="68">
        <f>K53</f>
        <v>75</v>
      </c>
      <c r="H53" s="68">
        <v>130</v>
      </c>
      <c r="I53" s="68">
        <v>20</v>
      </c>
      <c r="J53" s="68">
        <f>H53+I53</f>
        <v>150</v>
      </c>
      <c r="K53" s="68">
        <f>J53/2</f>
        <v>75</v>
      </c>
    </row>
    <row r="55" spans="1:24">
      <c r="G55" s="68">
        <f>SUM(G46:G53)</f>
        <v>315</v>
      </c>
      <c r="H55" s="17">
        <f>V41-G55</f>
        <v>139.10000000000014</v>
      </c>
    </row>
    <row r="56" spans="1:24">
      <c r="G56" s="68"/>
    </row>
    <row r="57" spans="1:24">
      <c r="G57" s="68"/>
    </row>
    <row r="58" spans="1:24">
      <c r="G58" s="68"/>
    </row>
  </sheetData>
  <mergeCells count="1">
    <mergeCell ref="A1:C1"/>
  </mergeCells>
  <conditionalFormatting sqref="A1:A1048576">
    <cfRule type="duplicateValues" dxfId="14" priority="1"/>
  </conditionalFormatting>
  <conditionalFormatting sqref="A3:A42">
    <cfRule type="duplicateValues" dxfId="13" priority="10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4445-066F-4E99-8F1C-9BBBA36A3473}">
  <dimension ref="A1:X44"/>
  <sheetViews>
    <sheetView zoomScale="80" zoomScaleNormal="80" workbookViewId="0">
      <selection activeCell="H11" sqref="H11"/>
    </sheetView>
  </sheetViews>
  <sheetFormatPr baseColWidth="10" defaultColWidth="9.1640625" defaultRowHeight="18"/>
  <cols>
    <col min="1" max="1" width="11.5" style="4" customWidth="1"/>
    <col min="2" max="2" width="60.1640625" style="4" customWidth="1"/>
    <col min="3" max="4" width="13.33203125" style="4" customWidth="1"/>
    <col min="5" max="5" width="12.1640625" style="4" bestFit="1" customWidth="1"/>
    <col min="6" max="6" width="15" style="4" bestFit="1" customWidth="1"/>
    <col min="7" max="7" width="10.83203125" style="4" customWidth="1"/>
    <col min="8" max="8" width="11.33203125" style="4" customWidth="1"/>
    <col min="9" max="10" width="11.5" style="4" customWidth="1"/>
    <col min="11" max="11" width="13" style="4" customWidth="1"/>
    <col min="12" max="12" width="10.83203125" style="4" customWidth="1"/>
    <col min="13" max="13" width="12" style="4" customWidth="1"/>
    <col min="14" max="19" width="10.5" style="4" customWidth="1"/>
    <col min="20" max="20" width="14.5" style="46" customWidth="1"/>
    <col min="21" max="21" width="16.5" style="46" customWidth="1"/>
    <col min="22" max="22" width="21.5" style="25" customWidth="1"/>
    <col min="23" max="23" width="9.1640625" style="4"/>
    <col min="24" max="24" width="11.5" style="4" bestFit="1" customWidth="1"/>
    <col min="25" max="16384" width="9.1640625" style="4"/>
  </cols>
  <sheetData>
    <row r="1" spans="1:24" ht="59.25" customHeight="1">
      <c r="A1" s="87" t="s">
        <v>18</v>
      </c>
      <c r="B1" s="87"/>
      <c r="C1" s="87"/>
      <c r="D1" s="2">
        <f>'Daily Expense on Jan-2026'!V42</f>
        <v>291.81000000000012</v>
      </c>
      <c r="E1" s="3"/>
      <c r="T1" s="5" t="s">
        <v>0</v>
      </c>
      <c r="U1" s="6" t="s">
        <v>1</v>
      </c>
      <c r="V1" s="7" t="s">
        <v>2</v>
      </c>
    </row>
    <row r="2" spans="1:24" ht="59.25" customHeight="1">
      <c r="A2" s="80" t="s">
        <v>95</v>
      </c>
      <c r="B2" s="80" t="s">
        <v>96</v>
      </c>
      <c r="C2" s="80" t="s">
        <v>97</v>
      </c>
      <c r="D2" s="2"/>
      <c r="E2" s="3" t="s">
        <v>98</v>
      </c>
      <c r="F2" s="3" t="s">
        <v>98</v>
      </c>
      <c r="G2" s="3" t="s">
        <v>98</v>
      </c>
      <c r="H2" s="3" t="s">
        <v>98</v>
      </c>
      <c r="I2" s="3" t="s">
        <v>98</v>
      </c>
      <c r="J2" s="3" t="s">
        <v>98</v>
      </c>
      <c r="K2" s="3" t="s">
        <v>98</v>
      </c>
      <c r="L2" s="3" t="s">
        <v>98</v>
      </c>
      <c r="M2" s="3" t="s">
        <v>98</v>
      </c>
      <c r="N2" s="3" t="s">
        <v>98</v>
      </c>
      <c r="O2" s="3" t="s">
        <v>98</v>
      </c>
      <c r="P2" s="3" t="s">
        <v>98</v>
      </c>
      <c r="T2" s="48"/>
      <c r="U2" s="49"/>
      <c r="V2" s="7"/>
    </row>
    <row r="3" spans="1:24" ht="23.25" customHeight="1">
      <c r="A3" s="8">
        <v>46054</v>
      </c>
      <c r="B3" s="14" t="s">
        <v>67</v>
      </c>
      <c r="C3" s="10">
        <f>T3</f>
        <v>57.2</v>
      </c>
      <c r="D3" s="11"/>
      <c r="E3" s="12">
        <v>0.2</v>
      </c>
      <c r="F3" s="12">
        <v>16</v>
      </c>
      <c r="G3" s="12">
        <v>16</v>
      </c>
      <c r="H3" s="12">
        <v>25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41">
        <f>SUM(E3:S3)</f>
        <v>57.2</v>
      </c>
      <c r="U3" s="40">
        <v>0</v>
      </c>
      <c r="V3" s="15">
        <f>D1+T3</f>
        <v>349.0100000000001</v>
      </c>
    </row>
    <row r="4" spans="1:24" ht="21.75" customHeight="1">
      <c r="A4" s="8">
        <v>46054</v>
      </c>
      <c r="B4" s="14" t="s">
        <v>66</v>
      </c>
      <c r="C4" s="10">
        <f>U4</f>
        <v>-206.45000000000002</v>
      </c>
      <c r="E4" s="12">
        <v>-0.01</v>
      </c>
      <c r="F4" s="12">
        <v>-12.65</v>
      </c>
      <c r="G4" s="12">
        <v>-1.99</v>
      </c>
      <c r="H4" s="12">
        <v>-2.4900000000000002</v>
      </c>
      <c r="I4" s="12">
        <v>-1.24</v>
      </c>
      <c r="J4" s="12">
        <v>-3.73</v>
      </c>
      <c r="K4" s="12">
        <v>-130</v>
      </c>
      <c r="L4" s="12">
        <v>-7.2</v>
      </c>
      <c r="M4" s="12">
        <v>-8.7100000000000009</v>
      </c>
      <c r="N4" s="12">
        <v>-10</v>
      </c>
      <c r="O4" s="12">
        <v>-8.7100000000000009</v>
      </c>
      <c r="P4" s="12">
        <v>-10</v>
      </c>
      <c r="Q4" s="12">
        <v>-1</v>
      </c>
      <c r="R4" s="12">
        <v>-2</v>
      </c>
      <c r="S4" s="12">
        <v>-6.72</v>
      </c>
      <c r="T4" s="42">
        <v>0</v>
      </c>
      <c r="U4" s="40">
        <f>SUM(E4:S4)</f>
        <v>-206.45000000000002</v>
      </c>
      <c r="V4" s="15">
        <f t="shared" ref="V4:V11" si="0">V3+U4</f>
        <v>142.56000000000009</v>
      </c>
    </row>
    <row r="5" spans="1:24" ht="21.75" customHeight="1">
      <c r="A5" s="8">
        <v>46055</v>
      </c>
      <c r="B5" s="14" t="s">
        <v>68</v>
      </c>
      <c r="C5" s="10">
        <f>U5</f>
        <v>-15.39</v>
      </c>
      <c r="E5" s="12">
        <v>-3</v>
      </c>
      <c r="F5" s="12">
        <v>-0.62</v>
      </c>
      <c r="G5" s="12">
        <v>-1</v>
      </c>
      <c r="H5" s="12">
        <v>-3.98</v>
      </c>
      <c r="I5" s="12">
        <v>-2.48</v>
      </c>
      <c r="J5" s="12">
        <v>-4.3099999999999996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42">
        <v>0</v>
      </c>
      <c r="U5" s="43">
        <f>SUM(E5:P5)</f>
        <v>-15.39</v>
      </c>
      <c r="V5" s="15">
        <f t="shared" si="0"/>
        <v>127.17000000000009</v>
      </c>
      <c r="X5" s="17"/>
    </row>
    <row r="6" spans="1:24" ht="21.75" customHeight="1">
      <c r="A6" s="8">
        <v>46056</v>
      </c>
      <c r="B6" s="14" t="s">
        <v>70</v>
      </c>
      <c r="C6" s="10">
        <f>U6</f>
        <v>-78.67</v>
      </c>
      <c r="E6" s="12">
        <v>-10</v>
      </c>
      <c r="F6" s="12">
        <v>-1.24</v>
      </c>
      <c r="G6" s="12">
        <v>-9.43</v>
      </c>
      <c r="H6" s="12">
        <v>-2.98</v>
      </c>
      <c r="I6" s="57">
        <v>-1.97</v>
      </c>
      <c r="J6" s="57">
        <v>-27.55</v>
      </c>
      <c r="K6" s="57">
        <v>-18</v>
      </c>
      <c r="L6" s="57">
        <v>-7.5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42">
        <v>0</v>
      </c>
      <c r="U6" s="43">
        <f>SUM(E6:L6)</f>
        <v>-78.67</v>
      </c>
      <c r="V6" s="15">
        <f t="shared" si="0"/>
        <v>48.500000000000085</v>
      </c>
      <c r="W6" s="17"/>
    </row>
    <row r="7" spans="1:24" ht="21.75" customHeight="1">
      <c r="A7" s="8">
        <v>46057</v>
      </c>
      <c r="B7" s="14" t="s">
        <v>71</v>
      </c>
      <c r="C7" s="10">
        <f>U7</f>
        <v>-18.87</v>
      </c>
      <c r="E7" s="12">
        <v>-2.98</v>
      </c>
      <c r="F7" s="12">
        <v>-2.98</v>
      </c>
      <c r="G7" s="12">
        <v>-5.46</v>
      </c>
      <c r="H7" s="12">
        <v>-7.45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42">
        <v>0</v>
      </c>
      <c r="U7" s="43">
        <f>SUM(E7:L7)</f>
        <v>-18.87</v>
      </c>
      <c r="V7" s="15">
        <f t="shared" si="0"/>
        <v>29.630000000000084</v>
      </c>
    </row>
    <row r="8" spans="1:24" ht="21.75" customHeight="1">
      <c r="A8" s="8">
        <v>46058</v>
      </c>
      <c r="B8" s="14" t="s">
        <v>72</v>
      </c>
      <c r="C8" s="10">
        <f>T8</f>
        <v>350</v>
      </c>
      <c r="E8" s="79">
        <v>200</v>
      </c>
      <c r="F8" s="79">
        <v>150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42">
        <f>SUM(E8:S8)</f>
        <v>350</v>
      </c>
      <c r="U8" s="43">
        <v>0</v>
      </c>
      <c r="V8" s="15">
        <f>V7+T8</f>
        <v>379.63000000000011</v>
      </c>
    </row>
    <row r="9" spans="1:24" ht="21.75" customHeight="1">
      <c r="A9" s="8">
        <v>46058</v>
      </c>
      <c r="B9" s="14" t="s">
        <v>79</v>
      </c>
      <c r="C9" s="10">
        <f>U9</f>
        <v>-141.11000000000001</v>
      </c>
      <c r="D9" s="17"/>
      <c r="E9" s="12">
        <v>-1.5</v>
      </c>
      <c r="F9" s="12">
        <v>-2.11</v>
      </c>
      <c r="G9" s="12">
        <v>-20</v>
      </c>
      <c r="H9" s="12">
        <v>-88.25</v>
      </c>
      <c r="I9" s="12">
        <v>-22</v>
      </c>
      <c r="J9" s="12">
        <v>-7.25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42">
        <v>0</v>
      </c>
      <c r="U9" s="43">
        <f>SUM(E9:L9)</f>
        <v>-141.11000000000001</v>
      </c>
      <c r="V9" s="15">
        <f>V8+U9</f>
        <v>238.5200000000001</v>
      </c>
    </row>
    <row r="10" spans="1:24" ht="21.75" customHeight="1">
      <c r="A10" s="8">
        <v>46059</v>
      </c>
      <c r="B10" s="18" t="s">
        <v>80</v>
      </c>
      <c r="C10" s="10">
        <f>U10</f>
        <v>-19.13</v>
      </c>
      <c r="D10" s="20"/>
      <c r="E10" s="12">
        <v>-2.98</v>
      </c>
      <c r="F10" s="12">
        <v>-4.22</v>
      </c>
      <c r="G10" s="12">
        <v>-3.73</v>
      </c>
      <c r="H10" s="12">
        <v>-8.1999999999999993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42">
        <v>0</v>
      </c>
      <c r="U10" s="43">
        <f>SUM(E10:L10)</f>
        <v>-19.13</v>
      </c>
      <c r="V10" s="15">
        <f t="shared" si="0"/>
        <v>219.3900000000001</v>
      </c>
    </row>
    <row r="11" spans="1:24" ht="21.75" customHeight="1">
      <c r="A11" s="8">
        <v>46060</v>
      </c>
      <c r="B11" s="18" t="s">
        <v>81</v>
      </c>
      <c r="C11" s="10">
        <f>U11</f>
        <v>-124.25999999999999</v>
      </c>
      <c r="D11" s="20"/>
      <c r="E11" s="12">
        <v>-2.98</v>
      </c>
      <c r="F11" s="12">
        <v>-3.48</v>
      </c>
      <c r="G11" s="12">
        <v>-6.71</v>
      </c>
      <c r="H11" s="12">
        <v>-2</v>
      </c>
      <c r="I11" s="12">
        <v>-1.49</v>
      </c>
      <c r="J11" s="12">
        <v>-10</v>
      </c>
      <c r="K11" s="12">
        <v>-33</v>
      </c>
      <c r="L11" s="12">
        <v>-49.69</v>
      </c>
      <c r="M11" s="12">
        <v>-14.91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42">
        <v>0</v>
      </c>
      <c r="U11" s="43">
        <f>SUM(E11:S11)</f>
        <v>-124.25999999999999</v>
      </c>
      <c r="V11" s="15">
        <f t="shared" si="0"/>
        <v>95.130000000000109</v>
      </c>
    </row>
    <row r="12" spans="1:24" ht="21.75" customHeight="1">
      <c r="A12" s="8">
        <v>46061</v>
      </c>
      <c r="B12" s="18" t="s">
        <v>82</v>
      </c>
      <c r="C12" s="19">
        <f>T12</f>
        <v>15</v>
      </c>
      <c r="D12" s="20"/>
      <c r="E12" s="12">
        <v>15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42">
        <f>SUM(E12:P12)</f>
        <v>15</v>
      </c>
      <c r="U12" s="43">
        <v>0</v>
      </c>
      <c r="V12" s="15">
        <f>V11+T12</f>
        <v>110.13000000000011</v>
      </c>
    </row>
    <row r="13" spans="1:24" ht="21.75" customHeight="1">
      <c r="A13" s="8">
        <v>46061</v>
      </c>
      <c r="B13" s="9" t="s">
        <v>83</v>
      </c>
      <c r="C13" s="21">
        <f>U13</f>
        <v>-44.649999999999991</v>
      </c>
      <c r="D13" s="20"/>
      <c r="E13" s="12">
        <v>-6.21</v>
      </c>
      <c r="F13" s="12">
        <v>-3</v>
      </c>
      <c r="G13" s="12">
        <v>-1.49</v>
      </c>
      <c r="H13" s="12">
        <v>-0.37</v>
      </c>
      <c r="I13" s="12">
        <v>-0.12</v>
      </c>
      <c r="J13" s="12">
        <v>-6.71</v>
      </c>
      <c r="K13" s="12">
        <v>-1.86</v>
      </c>
      <c r="L13" s="12">
        <f>-1.24</f>
        <v>-1.24</v>
      </c>
      <c r="M13" s="12">
        <v>-1.49</v>
      </c>
      <c r="N13" s="12">
        <v>-10.49</v>
      </c>
      <c r="O13" s="12">
        <v>-4.22</v>
      </c>
      <c r="P13" s="12">
        <v>-2.98</v>
      </c>
      <c r="Q13" s="12">
        <v>-0.99</v>
      </c>
      <c r="R13" s="12">
        <v>-3.48</v>
      </c>
      <c r="S13" s="12">
        <v>0</v>
      </c>
      <c r="T13" s="42">
        <v>0</v>
      </c>
      <c r="U13" s="43">
        <f>SUM(E13:R13)</f>
        <v>-44.649999999999991</v>
      </c>
      <c r="V13" s="15">
        <f>V12+U13</f>
        <v>65.480000000000118</v>
      </c>
    </row>
    <row r="14" spans="1:24" ht="21.75" customHeight="1">
      <c r="A14" s="8">
        <v>46062</v>
      </c>
      <c r="B14" s="9" t="s">
        <v>85</v>
      </c>
      <c r="C14" s="21">
        <f>T14</f>
        <v>10</v>
      </c>
      <c r="D14" s="20"/>
      <c r="E14" s="79">
        <v>10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42">
        <f>SUM(E14:S14)</f>
        <v>10</v>
      </c>
      <c r="U14" s="43">
        <v>0</v>
      </c>
      <c r="V14" s="15">
        <f>V13+T14</f>
        <v>75.480000000000118</v>
      </c>
    </row>
    <row r="15" spans="1:24" ht="21.75" customHeight="1">
      <c r="A15" s="8">
        <v>46062</v>
      </c>
      <c r="B15" s="9" t="s">
        <v>84</v>
      </c>
      <c r="C15" s="21">
        <f>U15</f>
        <v>-28.34</v>
      </c>
      <c r="D15" s="20"/>
      <c r="E15" s="12">
        <v>-3</v>
      </c>
      <c r="F15" s="12">
        <v>-4.6399999999999997</v>
      </c>
      <c r="G15" s="12">
        <v>-10</v>
      </c>
      <c r="H15" s="12">
        <v>-0.5</v>
      </c>
      <c r="I15" s="12">
        <v>-2</v>
      </c>
      <c r="J15" s="12">
        <v>-3.7</v>
      </c>
      <c r="K15" s="12">
        <v>-4.5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42">
        <v>0</v>
      </c>
      <c r="U15" s="43">
        <f>SUM(E15:R15)</f>
        <v>-28.34</v>
      </c>
      <c r="V15" s="15">
        <f>V14+U15</f>
        <v>47.140000000000114</v>
      </c>
    </row>
    <row r="16" spans="1:24" ht="21.75" customHeight="1">
      <c r="A16" s="8">
        <v>46063</v>
      </c>
      <c r="B16" s="9" t="s">
        <v>89</v>
      </c>
      <c r="C16" s="21">
        <f>E16</f>
        <v>900</v>
      </c>
      <c r="D16" s="20"/>
      <c r="E16" s="79">
        <v>900</v>
      </c>
      <c r="F16" s="79">
        <v>300</v>
      </c>
      <c r="G16" s="79">
        <v>112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42">
        <f>SUM(E16:S16)</f>
        <v>1312</v>
      </c>
      <c r="U16" s="43">
        <v>0</v>
      </c>
      <c r="V16" s="15">
        <f>V15+T16</f>
        <v>1359.14</v>
      </c>
    </row>
    <row r="17" spans="1:24" ht="21.75" customHeight="1">
      <c r="A17" s="8">
        <v>46063</v>
      </c>
      <c r="B17" s="9" t="s">
        <v>90</v>
      </c>
      <c r="C17" s="10">
        <f>U17</f>
        <v>-867.40000000000009</v>
      </c>
      <c r="D17" s="22"/>
      <c r="E17" s="12">
        <v>-0.62</v>
      </c>
      <c r="F17" s="12">
        <v>-10</v>
      </c>
      <c r="G17" s="12">
        <v>-1.49</v>
      </c>
      <c r="H17" s="57">
        <v>-130</v>
      </c>
      <c r="I17" s="57">
        <v>-200</v>
      </c>
      <c r="J17" s="57">
        <v>-259.11</v>
      </c>
      <c r="K17" s="57">
        <v>-75</v>
      </c>
      <c r="L17" s="57">
        <v>-80</v>
      </c>
      <c r="M17" s="57">
        <v>-100</v>
      </c>
      <c r="N17" s="12">
        <v>-8.6999999999999993</v>
      </c>
      <c r="O17" s="12">
        <v>-2.48</v>
      </c>
      <c r="P17" s="12">
        <v>0</v>
      </c>
      <c r="Q17" s="12">
        <v>0</v>
      </c>
      <c r="R17" s="12">
        <v>0</v>
      </c>
      <c r="S17" s="12">
        <v>0</v>
      </c>
      <c r="T17" s="42">
        <v>0</v>
      </c>
      <c r="U17" s="43">
        <f>SUM(E17:S17)</f>
        <v>-867.40000000000009</v>
      </c>
      <c r="V17" s="15">
        <f>V16+U17</f>
        <v>491.74</v>
      </c>
    </row>
    <row r="18" spans="1:24" ht="21.75" customHeight="1">
      <c r="A18" s="8">
        <v>46064</v>
      </c>
      <c r="B18" s="9" t="s">
        <v>91</v>
      </c>
      <c r="C18" s="10">
        <f>E18</f>
        <v>50</v>
      </c>
      <c r="D18" s="22"/>
      <c r="E18" s="79">
        <v>50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42">
        <f>SUM(E18:S18)</f>
        <v>50</v>
      </c>
      <c r="U18" s="43">
        <v>0</v>
      </c>
      <c r="V18" s="15">
        <f>V17+T18</f>
        <v>541.74</v>
      </c>
    </row>
    <row r="19" spans="1:24" ht="20.25" customHeight="1">
      <c r="A19" s="8">
        <v>46064</v>
      </c>
      <c r="B19" s="9" t="s">
        <v>92</v>
      </c>
      <c r="C19" s="10">
        <f>U19</f>
        <v>-171.70999999999998</v>
      </c>
      <c r="D19" s="23"/>
      <c r="E19" s="12">
        <v>-2.98</v>
      </c>
      <c r="F19" s="12">
        <v>-23.6</v>
      </c>
      <c r="G19" s="12">
        <v>-4.97</v>
      </c>
      <c r="H19" s="12">
        <v>-7</v>
      </c>
      <c r="I19" s="12">
        <v>-20.25</v>
      </c>
      <c r="J19" s="12">
        <v>-50</v>
      </c>
      <c r="K19" s="12">
        <v>-1.24</v>
      </c>
      <c r="L19" s="12">
        <v>-15</v>
      </c>
      <c r="M19" s="12">
        <v>-6.2</v>
      </c>
      <c r="N19" s="12">
        <v>-3.78</v>
      </c>
      <c r="O19" s="12">
        <v>-3.98</v>
      </c>
      <c r="P19" s="12">
        <v>-25</v>
      </c>
      <c r="Q19" s="12">
        <v>-7.71</v>
      </c>
      <c r="R19" s="12">
        <v>0</v>
      </c>
      <c r="S19" s="12">
        <v>0</v>
      </c>
      <c r="T19" s="44">
        <v>0</v>
      </c>
      <c r="U19" s="43">
        <f>SUM(E19:S19)</f>
        <v>-171.70999999999998</v>
      </c>
      <c r="V19" s="15">
        <f>V18+U19</f>
        <v>370.03000000000003</v>
      </c>
    </row>
    <row r="20" spans="1:24" ht="20.25" customHeight="1">
      <c r="A20" s="8">
        <v>46065</v>
      </c>
      <c r="B20" s="9" t="s">
        <v>93</v>
      </c>
      <c r="C20" s="10">
        <f>U20</f>
        <v>-21</v>
      </c>
      <c r="D20" s="23"/>
      <c r="E20" s="12">
        <v>-10</v>
      </c>
      <c r="F20" s="12">
        <v>-1</v>
      </c>
      <c r="G20" s="12">
        <v>-10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44">
        <v>0</v>
      </c>
      <c r="U20" s="43">
        <f>SUM(E20:S20)</f>
        <v>-21</v>
      </c>
      <c r="V20" s="15">
        <f>V19+U20</f>
        <v>349.03000000000003</v>
      </c>
    </row>
    <row r="21" spans="1:24" ht="20.25" customHeight="1">
      <c r="A21" s="8">
        <v>46066</v>
      </c>
      <c r="B21" s="9" t="s">
        <v>94</v>
      </c>
      <c r="C21" s="10">
        <f>U21</f>
        <v>-17.990000000000002</v>
      </c>
      <c r="D21" s="23"/>
      <c r="E21" s="12">
        <v>-2.99</v>
      </c>
      <c r="F21" s="12">
        <v>-15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44">
        <v>0</v>
      </c>
      <c r="U21" s="43">
        <f>SUM(E21:S21)</f>
        <v>-17.990000000000002</v>
      </c>
      <c r="V21" s="15">
        <f>V20+U21</f>
        <v>331.04</v>
      </c>
    </row>
    <row r="22" spans="1:24" ht="20.25" customHeight="1">
      <c r="A22" s="8">
        <v>46067</v>
      </c>
      <c r="B22" s="9" t="s">
        <v>3</v>
      </c>
      <c r="C22" s="10">
        <v>0</v>
      </c>
      <c r="D22" s="23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44">
        <v>0</v>
      </c>
      <c r="U22" s="43">
        <f>SUM(E22:P22)</f>
        <v>0</v>
      </c>
      <c r="V22" s="15">
        <f>V21+U22</f>
        <v>331.04</v>
      </c>
    </row>
    <row r="23" spans="1:24" ht="20.25" customHeight="1">
      <c r="A23" s="8">
        <v>46068</v>
      </c>
      <c r="B23" s="9" t="s">
        <v>3</v>
      </c>
      <c r="C23" s="10">
        <f t="shared" ref="C23:C32" si="1">T23</f>
        <v>0</v>
      </c>
      <c r="D23" s="23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44">
        <v>0</v>
      </c>
      <c r="U23" s="45">
        <f>SUM(E23:I23)+J23+K23+L23+M23+N23</f>
        <v>0</v>
      </c>
      <c r="V23" s="15">
        <f>V22+U23</f>
        <v>331.04</v>
      </c>
      <c r="X23" s="17"/>
    </row>
    <row r="24" spans="1:24" ht="20.25" customHeight="1">
      <c r="A24" s="8">
        <v>46069</v>
      </c>
      <c r="B24" s="9" t="s">
        <v>3</v>
      </c>
      <c r="C24" s="10">
        <f t="shared" si="1"/>
        <v>0</v>
      </c>
      <c r="D24" s="23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44">
        <f>SUM(E24:P24)</f>
        <v>0</v>
      </c>
      <c r="U24" s="45">
        <v>0</v>
      </c>
      <c r="V24" s="15">
        <f>V23+T24</f>
        <v>331.04</v>
      </c>
      <c r="X24" s="17"/>
    </row>
    <row r="25" spans="1:24" ht="20.25" customHeight="1">
      <c r="A25" s="8">
        <v>46070</v>
      </c>
      <c r="B25" s="9" t="s">
        <v>3</v>
      </c>
      <c r="C25" s="10">
        <f t="shared" si="1"/>
        <v>0</v>
      </c>
      <c r="D25" s="24"/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44">
        <v>0</v>
      </c>
      <c r="U25" s="45">
        <f>SUM(E25:I25)+J25+K25+L25+M25+N25</f>
        <v>0</v>
      </c>
      <c r="V25" s="15">
        <f>V24+U25</f>
        <v>331.04</v>
      </c>
    </row>
    <row r="26" spans="1:24" ht="20.25" customHeight="1">
      <c r="A26" s="8">
        <v>46071</v>
      </c>
      <c r="B26" s="9" t="s">
        <v>3</v>
      </c>
      <c r="C26" s="10">
        <f t="shared" si="1"/>
        <v>0</v>
      </c>
      <c r="D26" s="24"/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44">
        <f>SUM(E26:P26)</f>
        <v>0</v>
      </c>
      <c r="U26" s="45">
        <v>0</v>
      </c>
      <c r="V26" s="15">
        <f>V25+T26</f>
        <v>331.04</v>
      </c>
    </row>
    <row r="27" spans="1:24" ht="20.25" customHeight="1">
      <c r="A27" s="8">
        <v>46072</v>
      </c>
      <c r="B27" s="9" t="s">
        <v>3</v>
      </c>
      <c r="C27" s="10">
        <v>0</v>
      </c>
      <c r="D27" s="24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44">
        <v>0</v>
      </c>
      <c r="U27" s="45">
        <f>SUM(E27:I27)+J27+K27+L27+M27+N27</f>
        <v>0</v>
      </c>
      <c r="V27" s="15">
        <f>V26+U27</f>
        <v>331.04</v>
      </c>
    </row>
    <row r="28" spans="1:24" ht="20.25" customHeight="1">
      <c r="A28" s="8">
        <v>46073</v>
      </c>
      <c r="B28" s="9" t="s">
        <v>3</v>
      </c>
      <c r="C28" s="10">
        <f t="shared" si="1"/>
        <v>0</v>
      </c>
      <c r="D28" s="24"/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44">
        <v>0</v>
      </c>
      <c r="U28" s="45">
        <f>SUM(E28:I28)+J28+K28+L28+M28+N28</f>
        <v>0</v>
      </c>
      <c r="V28" s="15">
        <f>V27+U28</f>
        <v>331.04</v>
      </c>
    </row>
    <row r="29" spans="1:24" ht="20.25" customHeight="1">
      <c r="A29" s="8">
        <v>46074</v>
      </c>
      <c r="B29" s="9" t="s">
        <v>3</v>
      </c>
      <c r="C29" s="10">
        <f t="shared" si="1"/>
        <v>0</v>
      </c>
      <c r="D29" s="24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44">
        <v>0</v>
      </c>
      <c r="U29" s="45">
        <f>SUM(E29:I29)+J29+K29+L29+M29+N29</f>
        <v>0</v>
      </c>
      <c r="V29" s="15">
        <f>V28+U29</f>
        <v>331.04</v>
      </c>
    </row>
    <row r="30" spans="1:24" ht="20.25" customHeight="1">
      <c r="A30" s="8">
        <v>46075</v>
      </c>
      <c r="B30" s="9" t="s">
        <v>3</v>
      </c>
      <c r="C30" s="10">
        <f t="shared" si="1"/>
        <v>0</v>
      </c>
      <c r="D30" s="24"/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44">
        <v>0</v>
      </c>
      <c r="U30" s="45">
        <f>SUM(E30:I30)+J30+K30+L30+M30+N30</f>
        <v>0</v>
      </c>
      <c r="V30" s="15">
        <f>V29+U30</f>
        <v>331.04</v>
      </c>
    </row>
    <row r="31" spans="1:24" ht="20.25" customHeight="1">
      <c r="A31" s="8">
        <v>46076</v>
      </c>
      <c r="B31" s="9" t="s">
        <v>3</v>
      </c>
      <c r="C31" s="10">
        <f t="shared" si="1"/>
        <v>0</v>
      </c>
      <c r="D31" s="24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44">
        <f>SUM(E31:P31)</f>
        <v>0</v>
      </c>
      <c r="U31" s="45">
        <v>0</v>
      </c>
      <c r="V31" s="15">
        <f>V30+T31</f>
        <v>331.04</v>
      </c>
    </row>
    <row r="32" spans="1:24" ht="20.25" customHeight="1">
      <c r="A32" s="8">
        <v>46077</v>
      </c>
      <c r="B32" s="9" t="s">
        <v>3</v>
      </c>
      <c r="C32" s="10">
        <f t="shared" si="1"/>
        <v>0</v>
      </c>
      <c r="D32" s="24"/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44">
        <v>0</v>
      </c>
      <c r="U32" s="45">
        <f>SUM(E32:I32)+J32+K32+L32+M32+N32</f>
        <v>0</v>
      </c>
      <c r="V32" s="15">
        <f>V31+U32</f>
        <v>331.04</v>
      </c>
    </row>
    <row r="33" spans="1:24" ht="20.25" customHeight="1">
      <c r="A33" s="8">
        <v>46078</v>
      </c>
      <c r="B33" s="9" t="s">
        <v>3</v>
      </c>
      <c r="C33" s="10">
        <v>943</v>
      </c>
      <c r="D33" s="24">
        <v>50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44">
        <v>0</v>
      </c>
      <c r="U33" s="45">
        <f>SUM(E33:I33)+J33+K33+L33+M33+N33</f>
        <v>0</v>
      </c>
      <c r="V33" s="15">
        <f>V32+U33</f>
        <v>331.04</v>
      </c>
    </row>
    <row r="34" spans="1:24" ht="20.25" customHeight="1">
      <c r="A34" s="8">
        <v>46079</v>
      </c>
      <c r="B34" s="9" t="s">
        <v>3</v>
      </c>
      <c r="C34" s="10">
        <v>-419</v>
      </c>
      <c r="D34" s="24"/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44">
        <f>SUM(E34:N34)</f>
        <v>0</v>
      </c>
      <c r="U34" s="45">
        <v>0</v>
      </c>
      <c r="V34" s="15">
        <f>V33+T34</f>
        <v>331.04</v>
      </c>
    </row>
    <row r="35" spans="1:24" ht="20.25" customHeight="1">
      <c r="A35" s="8">
        <v>46080</v>
      </c>
      <c r="B35" s="9" t="s">
        <v>6</v>
      </c>
      <c r="C35" s="10">
        <v>-100</v>
      </c>
      <c r="D35" s="24"/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44">
        <v>0</v>
      </c>
      <c r="U35" s="45">
        <f>SUM(E35:P35)</f>
        <v>0</v>
      </c>
      <c r="V35" s="15">
        <f>V34+U35</f>
        <v>331.04</v>
      </c>
    </row>
    <row r="36" spans="1:24" s="25" customFormat="1">
      <c r="A36" s="8">
        <v>46081</v>
      </c>
      <c r="B36" s="9" t="s">
        <v>3</v>
      </c>
      <c r="C36" s="10">
        <v>209.5</v>
      </c>
      <c r="D36" s="24"/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44">
        <v>0</v>
      </c>
      <c r="U36" s="45">
        <f>SUM(E36:P36)</f>
        <v>0</v>
      </c>
      <c r="V36" s="15">
        <f>V35+U36</f>
        <v>331.04</v>
      </c>
      <c r="W36" s="4"/>
      <c r="X36" s="4"/>
    </row>
    <row r="37" spans="1:24" s="25" customFormat="1">
      <c r="A37" s="4"/>
      <c r="B37" s="4"/>
      <c r="C37" s="4"/>
      <c r="D37" s="4"/>
      <c r="E37" s="4"/>
      <c r="F37" s="4"/>
      <c r="G37" s="4"/>
      <c r="H37" s="4"/>
      <c r="I37" s="17"/>
      <c r="J37" s="17"/>
      <c r="K37" s="17"/>
      <c r="L37" s="4"/>
      <c r="M37" s="4"/>
      <c r="N37" s="4"/>
      <c r="O37" s="4"/>
      <c r="P37" s="4"/>
      <c r="Q37" s="4"/>
      <c r="R37" s="4"/>
      <c r="S37" s="4"/>
      <c r="T37" s="46"/>
      <c r="U37" s="47"/>
      <c r="W37" s="4"/>
      <c r="X37" s="4"/>
    </row>
    <row r="38" spans="1:24" s="25" customFormat="1">
      <c r="A38" s="4"/>
      <c r="B38" s="4"/>
      <c r="C38" s="4"/>
      <c r="D38" s="8">
        <v>46054</v>
      </c>
      <c r="E38" s="71" t="s">
        <v>73</v>
      </c>
      <c r="F38" s="72">
        <v>400000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6"/>
      <c r="U38" s="47"/>
      <c r="W38" s="4"/>
      <c r="X38" s="4"/>
    </row>
    <row r="39" spans="1:24">
      <c r="D39" s="8">
        <v>46054</v>
      </c>
      <c r="E39" s="71" t="s">
        <v>74</v>
      </c>
      <c r="F39" s="72">
        <v>-160000</v>
      </c>
    </row>
    <row r="40" spans="1:24">
      <c r="D40" s="8">
        <v>46054</v>
      </c>
      <c r="E40" s="71" t="s">
        <v>75</v>
      </c>
      <c r="F40" s="72">
        <v>-60000</v>
      </c>
    </row>
    <row r="41" spans="1:24">
      <c r="D41" s="71"/>
      <c r="E41" s="71" t="s">
        <v>78</v>
      </c>
      <c r="F41" s="72">
        <v>-50000</v>
      </c>
    </row>
    <row r="42" spans="1:24">
      <c r="D42" s="8">
        <v>46058</v>
      </c>
      <c r="E42" s="71" t="s">
        <v>77</v>
      </c>
      <c r="F42" s="72">
        <v>-50000</v>
      </c>
    </row>
    <row r="43" spans="1:24">
      <c r="D43" s="8">
        <v>46058</v>
      </c>
      <c r="E43" s="71" t="s">
        <v>76</v>
      </c>
      <c r="F43" s="72">
        <v>-50000</v>
      </c>
    </row>
    <row r="44" spans="1:24" s="25" customFormat="1">
      <c r="A44" s="4"/>
      <c r="B44" s="4"/>
      <c r="C44" s="4"/>
      <c r="D44" s="4"/>
      <c r="E44" s="4"/>
      <c r="F44" s="73"/>
      <c r="G44" s="4"/>
      <c r="H44" s="4"/>
      <c r="I44" s="4"/>
      <c r="J44" s="4"/>
      <c r="K44" s="17"/>
      <c r="L44" s="4"/>
      <c r="M44" s="4"/>
      <c r="N44" s="4"/>
      <c r="O44" s="4"/>
      <c r="P44" s="4"/>
      <c r="Q44" s="4"/>
      <c r="R44" s="4"/>
      <c r="S44" s="4"/>
      <c r="T44" s="46"/>
      <c r="U44" s="46"/>
      <c r="W44" s="4"/>
      <c r="X44" s="4"/>
    </row>
  </sheetData>
  <mergeCells count="1">
    <mergeCell ref="A1:C1"/>
  </mergeCells>
  <conditionalFormatting sqref="A1 A3:A1048576">
    <cfRule type="duplicateValues" dxfId="12" priority="6"/>
  </conditionalFormatting>
  <conditionalFormatting sqref="A2">
    <cfRule type="duplicateValues" dxfId="11" priority="1"/>
  </conditionalFormatting>
  <conditionalFormatting sqref="A3:A36">
    <cfRule type="duplicateValues" dxfId="10" priority="11"/>
  </conditionalFormatting>
  <conditionalFormatting sqref="D38:D40">
    <cfRule type="duplicateValues" dxfId="9" priority="4"/>
    <cfRule type="duplicateValues" dxfId="8" priority="5"/>
  </conditionalFormatting>
  <conditionalFormatting sqref="D42:D43">
    <cfRule type="duplicateValues" dxfId="7" priority="2"/>
    <cfRule type="duplicateValues" dxfId="6" priority="3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752-7937-433A-8886-285538904CCE}">
  <dimension ref="A1:U41"/>
  <sheetViews>
    <sheetView zoomScale="90" zoomScaleNormal="90" workbookViewId="0">
      <selection activeCell="A2" sqref="A2:XFD2"/>
    </sheetView>
  </sheetViews>
  <sheetFormatPr baseColWidth="10" defaultColWidth="9.1640625" defaultRowHeight="18"/>
  <cols>
    <col min="1" max="1" width="11.5" style="4" customWidth="1"/>
    <col min="2" max="2" width="60.1640625" style="4" customWidth="1"/>
    <col min="3" max="3" width="13.33203125" style="4" customWidth="1"/>
    <col min="4" max="4" width="11.6640625" style="4" customWidth="1"/>
    <col min="5" max="5" width="11.6640625" style="4" bestFit="1" customWidth="1"/>
    <col min="6" max="6" width="10.6640625" style="4" customWidth="1"/>
    <col min="7" max="7" width="10.83203125" style="4" customWidth="1"/>
    <col min="8" max="8" width="10" style="4" customWidth="1"/>
    <col min="9" max="10" width="10.1640625" style="4" customWidth="1"/>
    <col min="11" max="11" width="10.6640625" style="4" customWidth="1"/>
    <col min="12" max="12" width="10.83203125" style="4" customWidth="1"/>
    <col min="13" max="13" width="12" style="4" customWidth="1"/>
    <col min="14" max="16" width="10.5" style="4" customWidth="1"/>
    <col min="17" max="17" width="14.5" style="46" customWidth="1"/>
    <col min="18" max="18" width="16.5" style="46" customWidth="1"/>
    <col min="19" max="19" width="21.5" style="25" customWidth="1"/>
    <col min="20" max="16384" width="9.1640625" style="4"/>
  </cols>
  <sheetData>
    <row r="1" spans="1:19" ht="59.25" customHeight="1">
      <c r="A1" s="87" t="s">
        <v>19</v>
      </c>
      <c r="B1" s="87"/>
      <c r="C1" s="87"/>
      <c r="D1" s="2">
        <f>'[1]Daily Expense on Dec-2025'!$T$41</f>
        <v>586.00000000000011</v>
      </c>
      <c r="E1" s="3"/>
      <c r="Q1" s="5" t="s">
        <v>0</v>
      </c>
      <c r="R1" s="6" t="s">
        <v>1</v>
      </c>
      <c r="S1" s="7" t="s">
        <v>2</v>
      </c>
    </row>
    <row r="2" spans="1:19" ht="23.25" customHeight="1">
      <c r="A2" s="8">
        <v>46082</v>
      </c>
      <c r="B2" s="9" t="s">
        <v>8</v>
      </c>
      <c r="C2" s="10">
        <v>0</v>
      </c>
      <c r="D2" s="11"/>
      <c r="E2" s="12">
        <v>-8.0500000000000007</v>
      </c>
      <c r="F2" s="12">
        <v>-1.5</v>
      </c>
      <c r="G2" s="12">
        <v>-10</v>
      </c>
      <c r="H2" s="12">
        <v>-1</v>
      </c>
      <c r="I2" s="12">
        <v>-3.49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41">
        <v>0</v>
      </c>
      <c r="R2" s="40">
        <f>SUM(E2:Q2)</f>
        <v>-24.04</v>
      </c>
      <c r="S2" s="13">
        <f>D1+R2</f>
        <v>561.96000000000015</v>
      </c>
    </row>
    <row r="3" spans="1:19" ht="21.75" customHeight="1">
      <c r="A3" s="8">
        <v>46083</v>
      </c>
      <c r="B3" s="14" t="s">
        <v>3</v>
      </c>
      <c r="C3" s="10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42">
        <v>0</v>
      </c>
      <c r="R3" s="43">
        <f>SUM(E3:P3)</f>
        <v>0</v>
      </c>
      <c r="S3" s="15">
        <f>S2+R3</f>
        <v>561.96000000000015</v>
      </c>
    </row>
    <row r="4" spans="1:19" ht="21.75" customHeight="1">
      <c r="A4" s="8">
        <v>46084</v>
      </c>
      <c r="B4" s="14" t="s">
        <v>3</v>
      </c>
      <c r="C4" s="10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42">
        <v>0</v>
      </c>
      <c r="R4" s="43">
        <f>SUM(E4:P4)</f>
        <v>0</v>
      </c>
      <c r="S4" s="15">
        <f>S3+R4</f>
        <v>561.96000000000015</v>
      </c>
    </row>
    <row r="5" spans="1:19" ht="21.75" customHeight="1">
      <c r="A5" s="8">
        <v>46085</v>
      </c>
      <c r="B5" s="14" t="s">
        <v>3</v>
      </c>
      <c r="C5" s="16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42">
        <v>0</v>
      </c>
      <c r="R5" s="43">
        <f>SUM(E5:L5)</f>
        <v>0</v>
      </c>
      <c r="S5" s="15">
        <f>S4+R5</f>
        <v>561.96000000000015</v>
      </c>
    </row>
    <row r="6" spans="1:19" ht="21.75" customHeight="1">
      <c r="A6" s="8">
        <v>46086</v>
      </c>
      <c r="B6" s="14" t="s">
        <v>3</v>
      </c>
      <c r="C6" s="16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42">
        <v>0</v>
      </c>
      <c r="R6" s="43">
        <f>SUM(E6:L6)</f>
        <v>0</v>
      </c>
      <c r="S6" s="15">
        <f>S5+R6</f>
        <v>561.96000000000015</v>
      </c>
    </row>
    <row r="7" spans="1:19" ht="21.75" customHeight="1">
      <c r="A7" s="8">
        <v>46087</v>
      </c>
      <c r="B7" s="14" t="s">
        <v>4</v>
      </c>
      <c r="C7" s="16">
        <v>0</v>
      </c>
      <c r="D7" s="17"/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42">
        <v>0</v>
      </c>
      <c r="R7" s="43">
        <v>0</v>
      </c>
      <c r="S7" s="15">
        <f>S6+Q7</f>
        <v>561.96000000000015</v>
      </c>
    </row>
    <row r="8" spans="1:19" ht="21.75" customHeight="1">
      <c r="A8" s="8">
        <v>46088</v>
      </c>
      <c r="B8" s="18" t="s">
        <v>3</v>
      </c>
      <c r="C8" s="19">
        <f t="shared" ref="C8:C32" si="0">Q8</f>
        <v>0</v>
      </c>
      <c r="D8" s="20"/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42">
        <v>0</v>
      </c>
      <c r="R8" s="43">
        <f>SUM(E8:L8)</f>
        <v>0</v>
      </c>
      <c r="S8" s="15">
        <f>S7+R8</f>
        <v>561.96000000000015</v>
      </c>
    </row>
    <row r="9" spans="1:19" ht="21.75" customHeight="1">
      <c r="A9" s="8">
        <v>46089</v>
      </c>
      <c r="B9" s="18" t="s">
        <v>3</v>
      </c>
      <c r="C9" s="19">
        <f t="shared" si="0"/>
        <v>0</v>
      </c>
      <c r="D9" s="20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42">
        <f>SUM(E9:P9)</f>
        <v>0</v>
      </c>
      <c r="R9" s="43">
        <v>0</v>
      </c>
      <c r="S9" s="15">
        <f>S8+Q9</f>
        <v>561.96000000000015</v>
      </c>
    </row>
    <row r="10" spans="1:19" ht="21.75" customHeight="1">
      <c r="A10" s="8">
        <v>46090</v>
      </c>
      <c r="B10" s="9" t="s">
        <v>3</v>
      </c>
      <c r="C10" s="21">
        <v>0</v>
      </c>
      <c r="D10" s="20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42">
        <v>0</v>
      </c>
      <c r="R10" s="43">
        <f>SUM(E10:N10)</f>
        <v>0</v>
      </c>
      <c r="S10" s="15">
        <f>S9+R10</f>
        <v>561.96000000000015</v>
      </c>
    </row>
    <row r="11" spans="1:19" ht="21.75" customHeight="1">
      <c r="A11" s="8">
        <v>46091</v>
      </c>
      <c r="B11" s="9" t="s">
        <v>5</v>
      </c>
      <c r="C11" s="10">
        <v>943</v>
      </c>
      <c r="D11" s="20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42">
        <v>0</v>
      </c>
      <c r="R11" s="43">
        <f>SUM(E11:N11)</f>
        <v>0</v>
      </c>
      <c r="S11" s="15">
        <f>S10+R11</f>
        <v>561.96000000000015</v>
      </c>
    </row>
    <row r="12" spans="1:19" ht="21.75" customHeight="1">
      <c r="A12" s="8">
        <v>46092</v>
      </c>
      <c r="B12" s="9" t="s">
        <v>3</v>
      </c>
      <c r="C12" s="10">
        <v>0</v>
      </c>
      <c r="D12" s="22"/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42">
        <v>0</v>
      </c>
      <c r="R12" s="43">
        <f>SUM(E12:N12)</f>
        <v>0</v>
      </c>
      <c r="S12" s="15">
        <f>S11+R12</f>
        <v>561.96000000000015</v>
      </c>
    </row>
    <row r="13" spans="1:19" ht="20.25" customHeight="1">
      <c r="A13" s="8">
        <v>46093</v>
      </c>
      <c r="B13" s="9" t="s">
        <v>3</v>
      </c>
      <c r="C13" s="10">
        <f t="shared" si="0"/>
        <v>0</v>
      </c>
      <c r="D13" s="23"/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44">
        <f>SUM(E13:P13)</f>
        <v>0</v>
      </c>
      <c r="R13" s="43">
        <v>0</v>
      </c>
      <c r="S13" s="15">
        <f>S12+Q13</f>
        <v>561.96000000000015</v>
      </c>
    </row>
    <row r="14" spans="1:19" ht="20.25" customHeight="1">
      <c r="A14" s="8">
        <v>46094</v>
      </c>
      <c r="B14" s="9" t="s">
        <v>3</v>
      </c>
      <c r="C14" s="10">
        <f t="shared" si="0"/>
        <v>0</v>
      </c>
      <c r="D14" s="23"/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44">
        <v>0</v>
      </c>
      <c r="R14" s="43">
        <f>SUM(E14:P14)</f>
        <v>0</v>
      </c>
      <c r="S14" s="15">
        <f>S13+R14</f>
        <v>561.96000000000015</v>
      </c>
    </row>
    <row r="15" spans="1:19" ht="20.25" customHeight="1">
      <c r="A15" s="8">
        <v>46095</v>
      </c>
      <c r="B15" s="9" t="s">
        <v>3</v>
      </c>
      <c r="C15" s="10">
        <f t="shared" si="0"/>
        <v>0</v>
      </c>
      <c r="D15" s="23"/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44">
        <v>0</v>
      </c>
      <c r="R15" s="43">
        <v>0</v>
      </c>
      <c r="S15" s="15">
        <f>S14+Q15</f>
        <v>561.96000000000015</v>
      </c>
    </row>
    <row r="16" spans="1:19" ht="20.25" customHeight="1">
      <c r="A16" s="8">
        <v>46096</v>
      </c>
      <c r="B16" s="9" t="s">
        <v>3</v>
      </c>
      <c r="C16" s="10">
        <v>0</v>
      </c>
      <c r="D16" s="23"/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44">
        <v>0</v>
      </c>
      <c r="R16" s="43">
        <f>SUM(E16:P16)</f>
        <v>0</v>
      </c>
      <c r="S16" s="15">
        <f>S15+R16</f>
        <v>561.96000000000015</v>
      </c>
    </row>
    <row r="17" spans="1:21" ht="20.25" customHeight="1">
      <c r="A17" s="8">
        <v>46097</v>
      </c>
      <c r="B17" s="9" t="s">
        <v>3</v>
      </c>
      <c r="C17" s="10">
        <f t="shared" si="0"/>
        <v>0</v>
      </c>
      <c r="D17" s="23"/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44">
        <v>0</v>
      </c>
      <c r="R17" s="45">
        <f>SUM(E17:I17)+J17+K17+L17+M17+N17</f>
        <v>0</v>
      </c>
      <c r="S17" s="15">
        <f>S16+R17</f>
        <v>561.96000000000015</v>
      </c>
      <c r="U17" s="17"/>
    </row>
    <row r="18" spans="1:21" ht="20.25" customHeight="1">
      <c r="A18" s="8">
        <v>46098</v>
      </c>
      <c r="B18" s="9" t="s">
        <v>3</v>
      </c>
      <c r="C18" s="10">
        <f t="shared" si="0"/>
        <v>0</v>
      </c>
      <c r="D18" s="23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44">
        <f>SUM(E18:P18)</f>
        <v>0</v>
      </c>
      <c r="R18" s="45">
        <v>0</v>
      </c>
      <c r="S18" s="15">
        <f>S17+Q18</f>
        <v>561.96000000000015</v>
      </c>
      <c r="U18" s="17"/>
    </row>
    <row r="19" spans="1:21" ht="20.25" customHeight="1">
      <c r="A19" s="8">
        <v>46099</v>
      </c>
      <c r="B19" s="9" t="s">
        <v>3</v>
      </c>
      <c r="C19" s="10">
        <f t="shared" si="0"/>
        <v>0</v>
      </c>
      <c r="D19" s="24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44">
        <v>0</v>
      </c>
      <c r="R19" s="45">
        <f>SUM(E19:I19)+J19+K19+L19+M19+N19</f>
        <v>0</v>
      </c>
      <c r="S19" s="15">
        <f>S18+R19</f>
        <v>561.96000000000015</v>
      </c>
    </row>
    <row r="20" spans="1:21" ht="20.25" customHeight="1">
      <c r="A20" s="8">
        <v>46100</v>
      </c>
      <c r="B20" s="9" t="s">
        <v>3</v>
      </c>
      <c r="C20" s="10">
        <f t="shared" si="0"/>
        <v>0</v>
      </c>
      <c r="D20" s="24"/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44">
        <f>SUM(E20:P20)</f>
        <v>0</v>
      </c>
      <c r="R20" s="45">
        <v>0</v>
      </c>
      <c r="S20" s="15">
        <f>S19+Q20</f>
        <v>561.96000000000015</v>
      </c>
    </row>
    <row r="21" spans="1:21" ht="20.25" customHeight="1">
      <c r="A21" s="8">
        <v>46101</v>
      </c>
      <c r="B21" s="9" t="s">
        <v>3</v>
      </c>
      <c r="C21" s="10">
        <v>0</v>
      </c>
      <c r="D21" s="24"/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44">
        <v>0</v>
      </c>
      <c r="R21" s="45">
        <f>SUM(E21:I21)+J21+K21+L21+M21+N21</f>
        <v>0</v>
      </c>
      <c r="S21" s="15">
        <f>S20+R21</f>
        <v>561.96000000000015</v>
      </c>
    </row>
    <row r="22" spans="1:21" ht="20.25" customHeight="1">
      <c r="A22" s="8">
        <v>46102</v>
      </c>
      <c r="B22" s="9" t="s">
        <v>3</v>
      </c>
      <c r="C22" s="10">
        <f t="shared" si="0"/>
        <v>0</v>
      </c>
      <c r="D22" s="24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44">
        <v>0</v>
      </c>
      <c r="R22" s="45">
        <f>SUM(E22:I22)+J22+K22+L22+M22+N22</f>
        <v>0</v>
      </c>
      <c r="S22" s="15">
        <f>S21+R22</f>
        <v>561.96000000000015</v>
      </c>
    </row>
    <row r="23" spans="1:21" ht="20.25" customHeight="1">
      <c r="A23" s="8">
        <v>46103</v>
      </c>
      <c r="B23" s="9" t="s">
        <v>3</v>
      </c>
      <c r="C23" s="10">
        <f t="shared" si="0"/>
        <v>0</v>
      </c>
      <c r="D23" s="24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44">
        <v>0</v>
      </c>
      <c r="R23" s="45">
        <f>SUM(E23:I23)+J23+K23+L23+M23+N23</f>
        <v>0</v>
      </c>
      <c r="S23" s="15">
        <f>S22+R23</f>
        <v>561.96000000000015</v>
      </c>
    </row>
    <row r="24" spans="1:21" ht="20.25" customHeight="1">
      <c r="A24" s="8">
        <v>46104</v>
      </c>
      <c r="B24" s="9" t="s">
        <v>3</v>
      </c>
      <c r="C24" s="10">
        <f t="shared" si="0"/>
        <v>0</v>
      </c>
      <c r="D24" s="24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44">
        <v>0</v>
      </c>
      <c r="R24" s="45">
        <f>SUM(E24:I24)+J24+K24+L24+M24+N24</f>
        <v>0</v>
      </c>
      <c r="S24" s="15">
        <f>S23+R24</f>
        <v>561.96000000000015</v>
      </c>
    </row>
    <row r="25" spans="1:21" ht="20.25" customHeight="1">
      <c r="A25" s="8">
        <v>46105</v>
      </c>
      <c r="B25" s="9" t="s">
        <v>3</v>
      </c>
      <c r="C25" s="10">
        <v>943</v>
      </c>
      <c r="D25" s="24"/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44">
        <f>SUM(E25:P25)</f>
        <v>0</v>
      </c>
      <c r="R25" s="45">
        <v>0</v>
      </c>
      <c r="S25" s="15">
        <f>S24+Q25</f>
        <v>561.96000000000015</v>
      </c>
    </row>
    <row r="26" spans="1:21" ht="20.25" customHeight="1">
      <c r="A26" s="8">
        <v>46106</v>
      </c>
      <c r="B26" s="9" t="s">
        <v>3</v>
      </c>
      <c r="C26" s="10">
        <v>-419</v>
      </c>
      <c r="D26" s="24"/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44">
        <v>0</v>
      </c>
      <c r="R26" s="45">
        <f>SUM(E26:I26)+J26+K26+L26+M26+N26</f>
        <v>0</v>
      </c>
      <c r="S26" s="15">
        <f>S25+R26</f>
        <v>561.96000000000015</v>
      </c>
    </row>
    <row r="27" spans="1:21" ht="20.25" customHeight="1">
      <c r="A27" s="8">
        <v>46107</v>
      </c>
      <c r="B27" s="9" t="s">
        <v>6</v>
      </c>
      <c r="C27" s="10">
        <v>-100</v>
      </c>
      <c r="D27" s="24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44">
        <v>0</v>
      </c>
      <c r="R27" s="45">
        <f>SUM(E27:I27)+J27+K27+L27+M27+N27</f>
        <v>0</v>
      </c>
      <c r="S27" s="15">
        <f>S26+R27</f>
        <v>561.96000000000015</v>
      </c>
    </row>
    <row r="28" spans="1:21" ht="20.25" customHeight="1">
      <c r="A28" s="8">
        <v>46108</v>
      </c>
      <c r="B28" s="9" t="s">
        <v>3</v>
      </c>
      <c r="C28" s="10">
        <v>209.5</v>
      </c>
      <c r="D28" s="24"/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44">
        <f>SUM(E28:N28)</f>
        <v>0</v>
      </c>
      <c r="R28" s="45">
        <v>0</v>
      </c>
      <c r="S28" s="15">
        <f>S27+Q28</f>
        <v>561.96000000000015</v>
      </c>
    </row>
    <row r="29" spans="1:21" ht="20.25" customHeight="1">
      <c r="A29" s="8">
        <v>46109</v>
      </c>
      <c r="B29" s="9" t="s">
        <v>3</v>
      </c>
      <c r="C29" s="10">
        <f t="shared" si="0"/>
        <v>0</v>
      </c>
      <c r="D29" s="24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44">
        <v>0</v>
      </c>
      <c r="R29" s="45">
        <f>SUM(E29:P29)</f>
        <v>0</v>
      </c>
      <c r="S29" s="15">
        <f>S28+R29</f>
        <v>561.96000000000015</v>
      </c>
    </row>
    <row r="30" spans="1:21" ht="20.25" customHeight="1">
      <c r="A30" s="8">
        <v>46110</v>
      </c>
      <c r="B30" s="9" t="s">
        <v>3</v>
      </c>
      <c r="C30" s="10">
        <f t="shared" si="0"/>
        <v>0</v>
      </c>
      <c r="D30" s="24"/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44">
        <v>0</v>
      </c>
      <c r="R30" s="45">
        <f>SUM(E30:I30)+J30+K30+L30+M30+N30</f>
        <v>0</v>
      </c>
      <c r="S30" s="15">
        <f>S29+R30</f>
        <v>561.96000000000015</v>
      </c>
    </row>
    <row r="31" spans="1:21" ht="20.25" customHeight="1">
      <c r="A31" s="8">
        <v>46111</v>
      </c>
      <c r="B31" s="9" t="s">
        <v>3</v>
      </c>
      <c r="C31" s="10">
        <f t="shared" si="0"/>
        <v>0</v>
      </c>
      <c r="D31" s="24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44">
        <v>0</v>
      </c>
      <c r="R31" s="45">
        <f>SUM(E31:I31)+J31+K31+L31+M31+N31</f>
        <v>0</v>
      </c>
      <c r="S31" s="15">
        <f>S30+R31</f>
        <v>561.96000000000015</v>
      </c>
    </row>
    <row r="32" spans="1:21">
      <c r="A32" s="8">
        <v>46112</v>
      </c>
      <c r="B32" s="9" t="s">
        <v>3</v>
      </c>
      <c r="C32" s="10">
        <f t="shared" si="0"/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44">
        <v>0</v>
      </c>
      <c r="R32" s="45">
        <f>SUM(E32:I32)+J32+K32+L32+M32+N32</f>
        <v>0</v>
      </c>
      <c r="S32" s="15">
        <f>S31+R32</f>
        <v>561.96000000000015</v>
      </c>
    </row>
    <row r="33" spans="1:21" s="25" customForma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6"/>
      <c r="R33" s="47"/>
      <c r="T33" s="4"/>
      <c r="U33" s="4"/>
    </row>
    <row r="34" spans="1:21" s="25" customFormat="1">
      <c r="A34" s="4"/>
      <c r="B34" s="4"/>
      <c r="C34" s="4"/>
      <c r="D34" s="4"/>
      <c r="E34" s="4"/>
      <c r="F34" s="4"/>
      <c r="G34" s="4"/>
      <c r="H34" s="4"/>
      <c r="I34" s="17"/>
      <c r="J34" s="17"/>
      <c r="K34" s="17"/>
      <c r="L34" s="4"/>
      <c r="M34" s="4"/>
      <c r="N34" s="4"/>
      <c r="O34" s="4"/>
      <c r="P34" s="4"/>
      <c r="Q34" s="46"/>
      <c r="R34" s="47"/>
      <c r="T34" s="4"/>
      <c r="U34" s="4"/>
    </row>
    <row r="35" spans="1:21" s="25" customForma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6"/>
      <c r="R35" s="47"/>
      <c r="T35" s="4"/>
      <c r="U35" s="4"/>
    </row>
    <row r="41" spans="1:21" s="25" customFormat="1">
      <c r="A41" s="4"/>
      <c r="B41" s="4"/>
      <c r="C41" s="4"/>
      <c r="D41" s="4"/>
      <c r="E41" s="4"/>
      <c r="F41" s="4"/>
      <c r="G41" s="4"/>
      <c r="H41" s="4"/>
      <c r="I41" s="4"/>
      <c r="J41" s="4"/>
      <c r="K41" s="17"/>
      <c r="L41" s="4"/>
      <c r="M41" s="4"/>
      <c r="N41" s="4"/>
      <c r="O41" s="4"/>
      <c r="P41" s="4"/>
      <c r="Q41" s="46"/>
      <c r="R41" s="46"/>
      <c r="T41" s="4"/>
      <c r="U41" s="4"/>
    </row>
  </sheetData>
  <mergeCells count="1">
    <mergeCell ref="A1:C1"/>
  </mergeCells>
  <conditionalFormatting sqref="A1:A1048576">
    <cfRule type="duplicateValues" dxfId="5" priority="1"/>
  </conditionalFormatting>
  <conditionalFormatting sqref="A2:A32">
    <cfRule type="duplicateValues" dxfId="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704C-D235-48B3-A297-EB62F20E321D}">
  <dimension ref="A1:U40"/>
  <sheetViews>
    <sheetView topLeftCell="A18" zoomScale="90" zoomScaleNormal="90" workbookViewId="0">
      <selection activeCell="D31" sqref="D31"/>
    </sheetView>
  </sheetViews>
  <sheetFormatPr baseColWidth="10" defaultColWidth="9.1640625" defaultRowHeight="18"/>
  <cols>
    <col min="1" max="1" width="11.5" style="4" customWidth="1"/>
    <col min="2" max="2" width="60.1640625" style="4" customWidth="1"/>
    <col min="3" max="3" width="13.33203125" style="4" customWidth="1"/>
    <col min="4" max="4" width="11.6640625" style="4" customWidth="1"/>
    <col min="5" max="5" width="11.6640625" style="4" bestFit="1" customWidth="1"/>
    <col min="6" max="6" width="10.6640625" style="4" customWidth="1"/>
    <col min="7" max="7" width="10.83203125" style="4" customWidth="1"/>
    <col min="8" max="8" width="10" style="4" customWidth="1"/>
    <col min="9" max="10" width="10.1640625" style="4" customWidth="1"/>
    <col min="11" max="11" width="10.6640625" style="4" customWidth="1"/>
    <col min="12" max="12" width="10.83203125" style="4" customWidth="1"/>
    <col min="13" max="13" width="12" style="4" customWidth="1"/>
    <col min="14" max="16" width="10.5" style="4" customWidth="1"/>
    <col min="17" max="17" width="14.5" style="46" customWidth="1"/>
    <col min="18" max="18" width="16.5" style="46" customWidth="1"/>
    <col min="19" max="19" width="21.5" style="25" customWidth="1"/>
    <col min="20" max="16384" width="9.1640625" style="4"/>
  </cols>
  <sheetData>
    <row r="1" spans="1:19" ht="59.25" customHeight="1">
      <c r="A1" s="87" t="s">
        <v>50</v>
      </c>
      <c r="B1" s="87"/>
      <c r="C1" s="87"/>
      <c r="D1" s="2">
        <f>'[1]Daily Expense on Dec-2025'!$T$41</f>
        <v>586.00000000000011</v>
      </c>
      <c r="E1" s="3"/>
      <c r="Q1" s="5" t="s">
        <v>0</v>
      </c>
      <c r="R1" s="6" t="s">
        <v>1</v>
      </c>
      <c r="S1" s="7" t="s">
        <v>2</v>
      </c>
    </row>
    <row r="2" spans="1:19" ht="23.25" customHeight="1">
      <c r="A2" s="8">
        <v>46113</v>
      </c>
      <c r="B2" s="9" t="s">
        <v>8</v>
      </c>
      <c r="C2" s="10">
        <v>0</v>
      </c>
      <c r="D2" s="11"/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41">
        <v>0</v>
      </c>
      <c r="R2" s="40">
        <f>SUM(E2:Q2)</f>
        <v>0</v>
      </c>
      <c r="S2" s="13">
        <f>D1+R2</f>
        <v>586.00000000000011</v>
      </c>
    </row>
    <row r="3" spans="1:19" ht="21.75" customHeight="1">
      <c r="A3" s="8">
        <v>46114</v>
      </c>
      <c r="B3" s="14" t="s">
        <v>3</v>
      </c>
      <c r="C3" s="10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42">
        <v>0</v>
      </c>
      <c r="R3" s="43">
        <f>SUM(E3:P3)</f>
        <v>0</v>
      </c>
      <c r="S3" s="15">
        <f>S2+R3</f>
        <v>586.00000000000011</v>
      </c>
    </row>
    <row r="4" spans="1:19" ht="21.75" customHeight="1">
      <c r="A4" s="8">
        <v>46115</v>
      </c>
      <c r="B4" s="14" t="s">
        <v>3</v>
      </c>
      <c r="C4" s="10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42">
        <v>0</v>
      </c>
      <c r="R4" s="43">
        <f>SUM(E4:P4)</f>
        <v>0</v>
      </c>
      <c r="S4" s="15">
        <f>S3+R4</f>
        <v>586.00000000000011</v>
      </c>
    </row>
    <row r="5" spans="1:19" ht="21.75" customHeight="1">
      <c r="A5" s="8">
        <v>46116</v>
      </c>
      <c r="B5" s="14" t="s">
        <v>3</v>
      </c>
      <c r="C5" s="16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42">
        <v>0</v>
      </c>
      <c r="R5" s="43">
        <f>SUM(E5:L5)</f>
        <v>0</v>
      </c>
      <c r="S5" s="15">
        <f>S4+R5</f>
        <v>586.00000000000011</v>
      </c>
    </row>
    <row r="6" spans="1:19" ht="21.75" customHeight="1">
      <c r="A6" s="8">
        <v>46117</v>
      </c>
      <c r="B6" s="14" t="s">
        <v>3</v>
      </c>
      <c r="C6" s="16">
        <v>620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42">
        <v>0</v>
      </c>
      <c r="R6" s="43">
        <f>SUM(E6:L6)</f>
        <v>0</v>
      </c>
      <c r="S6" s="15">
        <f>S5+R6</f>
        <v>586.00000000000011</v>
      </c>
    </row>
    <row r="7" spans="1:19" ht="21.75" customHeight="1">
      <c r="A7" s="8">
        <v>46118</v>
      </c>
      <c r="B7" s="14" t="s">
        <v>4</v>
      </c>
      <c r="C7" s="16">
        <v>0</v>
      </c>
      <c r="D7" s="17"/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42">
        <v>0</v>
      </c>
      <c r="R7" s="43">
        <v>0</v>
      </c>
      <c r="S7" s="15">
        <f>S6+Q7</f>
        <v>586.00000000000011</v>
      </c>
    </row>
    <row r="8" spans="1:19" ht="21.75" customHeight="1">
      <c r="A8" s="8">
        <v>46119</v>
      </c>
      <c r="B8" s="18" t="s">
        <v>3</v>
      </c>
      <c r="C8" s="19">
        <f t="shared" ref="C8:C31" si="0">Q8</f>
        <v>0</v>
      </c>
      <c r="D8" s="20"/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42">
        <v>0</v>
      </c>
      <c r="R8" s="43">
        <f>SUM(E8:L8)</f>
        <v>0</v>
      </c>
      <c r="S8" s="15">
        <f>S7+R8</f>
        <v>586.00000000000011</v>
      </c>
    </row>
    <row r="9" spans="1:19" ht="21.75" customHeight="1">
      <c r="A9" s="8">
        <v>46120</v>
      </c>
      <c r="B9" s="18" t="s">
        <v>3</v>
      </c>
      <c r="C9" s="19">
        <f t="shared" si="0"/>
        <v>0</v>
      </c>
      <c r="D9" s="20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42">
        <f>SUM(E9:P9)</f>
        <v>0</v>
      </c>
      <c r="R9" s="43">
        <v>0</v>
      </c>
      <c r="S9" s="15">
        <f>S8+Q9</f>
        <v>586.00000000000011</v>
      </c>
    </row>
    <row r="10" spans="1:19" ht="21.75" customHeight="1">
      <c r="A10" s="8">
        <v>46121</v>
      </c>
      <c r="B10" s="9" t="s">
        <v>3</v>
      </c>
      <c r="C10" s="21">
        <v>0</v>
      </c>
      <c r="D10" s="20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42">
        <v>0</v>
      </c>
      <c r="R10" s="43">
        <f>SUM(E10:N10)</f>
        <v>0</v>
      </c>
      <c r="S10" s="15">
        <f>S9+R10</f>
        <v>586.00000000000011</v>
      </c>
    </row>
    <row r="11" spans="1:19" ht="21.75" customHeight="1">
      <c r="A11" s="8">
        <v>46122</v>
      </c>
      <c r="B11" s="9" t="s">
        <v>5</v>
      </c>
      <c r="C11" s="10">
        <v>943</v>
      </c>
      <c r="D11" s="20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42">
        <v>0</v>
      </c>
      <c r="R11" s="43">
        <f>SUM(E11:N11)</f>
        <v>0</v>
      </c>
      <c r="S11" s="15">
        <f>S10+R11</f>
        <v>586.00000000000011</v>
      </c>
    </row>
    <row r="12" spans="1:19" ht="21.75" customHeight="1">
      <c r="A12" s="8">
        <v>46123</v>
      </c>
      <c r="B12" s="9" t="s">
        <v>3</v>
      </c>
      <c r="C12" s="10">
        <v>0</v>
      </c>
      <c r="D12" s="22"/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42">
        <v>0</v>
      </c>
      <c r="R12" s="43">
        <f>SUM(E12:N12)</f>
        <v>0</v>
      </c>
      <c r="S12" s="15">
        <f>S11+R12</f>
        <v>586.00000000000011</v>
      </c>
    </row>
    <row r="13" spans="1:19" ht="20.25" customHeight="1">
      <c r="A13" s="8">
        <v>46124</v>
      </c>
      <c r="B13" s="9" t="s">
        <v>3</v>
      </c>
      <c r="C13" s="10">
        <f t="shared" si="0"/>
        <v>0</v>
      </c>
      <c r="D13" s="23"/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44">
        <f>SUM(E13:P13)</f>
        <v>0</v>
      </c>
      <c r="R13" s="43">
        <v>0</v>
      </c>
      <c r="S13" s="15">
        <f>S12+Q13</f>
        <v>586.00000000000011</v>
      </c>
    </row>
    <row r="14" spans="1:19" ht="20.25" customHeight="1">
      <c r="A14" s="8">
        <v>46125</v>
      </c>
      <c r="B14" s="9" t="s">
        <v>3</v>
      </c>
      <c r="C14" s="10">
        <f t="shared" si="0"/>
        <v>0</v>
      </c>
      <c r="D14" s="23"/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44">
        <v>0</v>
      </c>
      <c r="R14" s="43">
        <f>SUM(E14:P14)</f>
        <v>0</v>
      </c>
      <c r="S14" s="15">
        <f>S13+R14</f>
        <v>586.00000000000011</v>
      </c>
    </row>
    <row r="15" spans="1:19" ht="20.25" customHeight="1">
      <c r="A15" s="65">
        <v>46126</v>
      </c>
      <c r="B15" s="66" t="s">
        <v>69</v>
      </c>
      <c r="C15" s="67">
        <v>-200</v>
      </c>
      <c r="D15" s="23"/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44">
        <v>0</v>
      </c>
      <c r="R15" s="43">
        <v>0</v>
      </c>
      <c r="S15" s="15">
        <f>S14+Q15</f>
        <v>586.00000000000011</v>
      </c>
    </row>
    <row r="16" spans="1:19" ht="20.25" customHeight="1">
      <c r="A16" s="65">
        <v>46127</v>
      </c>
      <c r="B16" s="66" t="s">
        <v>69</v>
      </c>
      <c r="C16" s="67">
        <v>0</v>
      </c>
      <c r="D16" s="23"/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44">
        <v>0</v>
      </c>
      <c r="R16" s="43">
        <f>SUM(E16:P16)</f>
        <v>0</v>
      </c>
      <c r="S16" s="15">
        <f>S15+R16</f>
        <v>586.00000000000011</v>
      </c>
    </row>
    <row r="17" spans="1:21" ht="20.25" customHeight="1">
      <c r="A17" s="65">
        <v>46128</v>
      </c>
      <c r="B17" s="66" t="s">
        <v>69</v>
      </c>
      <c r="C17" s="67">
        <f t="shared" si="0"/>
        <v>0</v>
      </c>
      <c r="D17" s="23"/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44">
        <v>0</v>
      </c>
      <c r="R17" s="45">
        <f>SUM(E17:I17)+J17+K17+L17+M17+N17</f>
        <v>0</v>
      </c>
      <c r="S17" s="15">
        <f>S16+R17</f>
        <v>586.00000000000011</v>
      </c>
      <c r="U17" s="17"/>
    </row>
    <row r="18" spans="1:21" ht="20.25" customHeight="1">
      <c r="A18" s="8">
        <v>46129</v>
      </c>
      <c r="B18" s="9" t="s">
        <v>3</v>
      </c>
      <c r="C18" s="10">
        <f t="shared" si="0"/>
        <v>0</v>
      </c>
      <c r="D18" s="23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44">
        <f>SUM(E18:P18)</f>
        <v>0</v>
      </c>
      <c r="R18" s="45">
        <v>0</v>
      </c>
      <c r="S18" s="15">
        <f>S17+Q18</f>
        <v>586.00000000000011</v>
      </c>
      <c r="U18" s="17"/>
    </row>
    <row r="19" spans="1:21" ht="20.25" customHeight="1">
      <c r="A19" s="8">
        <v>46130</v>
      </c>
      <c r="B19" s="9" t="s">
        <v>3</v>
      </c>
      <c r="C19" s="10">
        <f t="shared" si="0"/>
        <v>0</v>
      </c>
      <c r="D19" s="24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44">
        <v>0</v>
      </c>
      <c r="R19" s="45">
        <f>SUM(E19:I19)+J19+K19+L19+M19+N19</f>
        <v>0</v>
      </c>
      <c r="S19" s="15">
        <f>S18+R19</f>
        <v>586.00000000000011</v>
      </c>
    </row>
    <row r="20" spans="1:21" ht="20.25" customHeight="1">
      <c r="A20" s="8">
        <v>46131</v>
      </c>
      <c r="B20" s="9" t="s">
        <v>3</v>
      </c>
      <c r="C20" s="10">
        <f t="shared" si="0"/>
        <v>0</v>
      </c>
      <c r="D20" s="24"/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44">
        <f>SUM(E20:P20)</f>
        <v>0</v>
      </c>
      <c r="R20" s="45">
        <v>0</v>
      </c>
      <c r="S20" s="15">
        <f>S19+Q20</f>
        <v>586.00000000000011</v>
      </c>
    </row>
    <row r="21" spans="1:21" ht="20.25" customHeight="1">
      <c r="A21" s="8">
        <v>46132</v>
      </c>
      <c r="B21" s="9" t="s">
        <v>3</v>
      </c>
      <c r="C21" s="10">
        <v>0</v>
      </c>
      <c r="D21" s="24"/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44">
        <v>0</v>
      </c>
      <c r="R21" s="45">
        <f>SUM(E21:I21)+J21+K21+L21+M21+N21</f>
        <v>0</v>
      </c>
      <c r="S21" s="15">
        <f>S20+R21</f>
        <v>586.00000000000011</v>
      </c>
    </row>
    <row r="22" spans="1:21" ht="20.25" customHeight="1">
      <c r="A22" s="8">
        <v>46133</v>
      </c>
      <c r="B22" s="9" t="s">
        <v>3</v>
      </c>
      <c r="C22" s="10">
        <f t="shared" si="0"/>
        <v>0</v>
      </c>
      <c r="D22" s="24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44">
        <v>0</v>
      </c>
      <c r="R22" s="45">
        <f>SUM(E22:I22)+J22+K22+L22+M22+N22</f>
        <v>0</v>
      </c>
      <c r="S22" s="15">
        <f>S21+R22</f>
        <v>586.00000000000011</v>
      </c>
    </row>
    <row r="23" spans="1:21" ht="20.25" customHeight="1">
      <c r="A23" s="8">
        <v>46134</v>
      </c>
      <c r="B23" s="9" t="s">
        <v>3</v>
      </c>
      <c r="C23" s="10">
        <f t="shared" si="0"/>
        <v>0</v>
      </c>
      <c r="D23" s="24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44">
        <v>0</v>
      </c>
      <c r="R23" s="45">
        <f>SUM(E23:I23)+J23+K23+L23+M23+N23</f>
        <v>0</v>
      </c>
      <c r="S23" s="15">
        <f>S22+R23</f>
        <v>586.00000000000011</v>
      </c>
    </row>
    <row r="24" spans="1:21" ht="20.25" customHeight="1">
      <c r="A24" s="8">
        <v>46135</v>
      </c>
      <c r="B24" s="9" t="s">
        <v>3</v>
      </c>
      <c r="C24" s="10">
        <f t="shared" si="0"/>
        <v>0</v>
      </c>
      <c r="D24" s="24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44">
        <v>0</v>
      </c>
      <c r="R24" s="45">
        <f>SUM(E24:I24)+J24+K24+L24+M24+N24</f>
        <v>0</v>
      </c>
      <c r="S24" s="15">
        <f>S23+R24</f>
        <v>586.00000000000011</v>
      </c>
    </row>
    <row r="25" spans="1:21" ht="20.25" customHeight="1">
      <c r="A25" s="8">
        <v>46136</v>
      </c>
      <c r="B25" s="9" t="s">
        <v>3</v>
      </c>
      <c r="C25" s="10">
        <v>943</v>
      </c>
      <c r="D25" s="24"/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44">
        <f>SUM(E25:P25)</f>
        <v>0</v>
      </c>
      <c r="R25" s="45">
        <v>0</v>
      </c>
      <c r="S25" s="15">
        <f>S24+Q25</f>
        <v>586.00000000000011</v>
      </c>
    </row>
    <row r="26" spans="1:21" ht="20.25" customHeight="1">
      <c r="A26" s="74">
        <v>46137</v>
      </c>
      <c r="B26" s="75" t="s">
        <v>87</v>
      </c>
      <c r="C26" s="76">
        <v>-419</v>
      </c>
      <c r="D26" s="24"/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44">
        <v>0</v>
      </c>
      <c r="R26" s="45">
        <f>SUM(E26:I26)+J26+K26+L26+M26+N26</f>
        <v>0</v>
      </c>
      <c r="S26" s="15">
        <f>S25+R26</f>
        <v>586.00000000000011</v>
      </c>
    </row>
    <row r="27" spans="1:21" ht="20.25" customHeight="1">
      <c r="A27" s="74">
        <v>46138</v>
      </c>
      <c r="B27" s="75" t="s">
        <v>87</v>
      </c>
      <c r="C27" s="76">
        <v>-100</v>
      </c>
      <c r="D27" s="24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44">
        <v>0</v>
      </c>
      <c r="R27" s="45">
        <f>SUM(E27:I27)+J27+K27+L27+M27+N27</f>
        <v>0</v>
      </c>
      <c r="S27" s="15">
        <f>S26+R27</f>
        <v>586.00000000000011</v>
      </c>
    </row>
    <row r="28" spans="1:21" ht="20.25" customHeight="1">
      <c r="A28" s="8">
        <v>46139</v>
      </c>
      <c r="B28" s="9" t="s">
        <v>3</v>
      </c>
      <c r="C28" s="10">
        <v>209.5</v>
      </c>
      <c r="D28" s="24"/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44">
        <f>SUM(E28:N28)</f>
        <v>0</v>
      </c>
      <c r="R28" s="45">
        <v>0</v>
      </c>
      <c r="S28" s="15">
        <f>S27+Q28</f>
        <v>586.00000000000011</v>
      </c>
    </row>
    <row r="29" spans="1:21" ht="20.25" customHeight="1">
      <c r="A29" s="8">
        <v>46140</v>
      </c>
      <c r="B29" s="9" t="s">
        <v>3</v>
      </c>
      <c r="C29" s="10">
        <f t="shared" si="0"/>
        <v>0</v>
      </c>
      <c r="D29" s="24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44">
        <v>0</v>
      </c>
      <c r="R29" s="45">
        <f>SUM(E29:P29)</f>
        <v>0</v>
      </c>
      <c r="S29" s="15">
        <f>S28+R29</f>
        <v>586.00000000000011</v>
      </c>
    </row>
    <row r="30" spans="1:21" ht="20.25" customHeight="1">
      <c r="A30" s="8">
        <v>46141</v>
      </c>
      <c r="B30" s="9" t="s">
        <v>3</v>
      </c>
      <c r="C30" s="10">
        <f t="shared" si="0"/>
        <v>0</v>
      </c>
      <c r="D30" s="24"/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44">
        <v>0</v>
      </c>
      <c r="R30" s="45">
        <f>SUM(E30:I30)+J30+K30+L30+M30+N30</f>
        <v>0</v>
      </c>
      <c r="S30" s="15">
        <f>S29+R30</f>
        <v>586.00000000000011</v>
      </c>
    </row>
    <row r="31" spans="1:21" ht="20.25" customHeight="1">
      <c r="A31" s="8">
        <v>46142</v>
      </c>
      <c r="B31" s="9" t="s">
        <v>3</v>
      </c>
      <c r="C31" s="10">
        <f t="shared" si="0"/>
        <v>0</v>
      </c>
      <c r="D31" s="24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44">
        <v>0</v>
      </c>
      <c r="R31" s="45">
        <f>SUM(E31:I31)+J31+K31+L31+M31+N31</f>
        <v>0</v>
      </c>
      <c r="S31" s="15">
        <f>S30+R31</f>
        <v>586.00000000000011</v>
      </c>
    </row>
    <row r="32" spans="1:21" s="25" customForma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47"/>
      <c r="T32" s="4"/>
      <c r="U32" s="4"/>
    </row>
    <row r="33" spans="1:21" s="25" customFormat="1">
      <c r="A33" s="4"/>
      <c r="B33" s="4"/>
      <c r="C33" s="4"/>
      <c r="D33" s="4"/>
      <c r="E33" s="4"/>
      <c r="F33" s="4"/>
      <c r="G33" s="4"/>
      <c r="H33" s="4"/>
      <c r="I33" s="17"/>
      <c r="J33" s="17"/>
      <c r="K33" s="17"/>
      <c r="L33" s="4"/>
      <c r="M33" s="4"/>
      <c r="N33" s="4"/>
      <c r="O33" s="4"/>
      <c r="P33" s="4"/>
      <c r="Q33" s="46"/>
      <c r="R33" s="47"/>
      <c r="T33" s="4"/>
      <c r="U33" s="4"/>
    </row>
    <row r="34" spans="1:21" s="25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7"/>
      <c r="T34" s="4"/>
      <c r="U34" s="4"/>
    </row>
    <row r="36" spans="1:21" ht="45">
      <c r="D36" s="35">
        <v>111</v>
      </c>
      <c r="E36" s="78" t="s">
        <v>88</v>
      </c>
      <c r="F36" s="35">
        <v>1</v>
      </c>
      <c r="G36" s="77">
        <v>38</v>
      </c>
      <c r="H36" s="17"/>
    </row>
    <row r="40" spans="1:21" s="25" customFormat="1">
      <c r="A40" s="4"/>
      <c r="B40" s="4"/>
      <c r="C40" s="4"/>
      <c r="D40" s="4"/>
      <c r="E40" s="4"/>
      <c r="F40" s="4"/>
      <c r="G40" s="4"/>
      <c r="H40" s="4"/>
      <c r="I40" s="4"/>
      <c r="J40" s="4"/>
      <c r="K40" s="17"/>
      <c r="L40" s="4"/>
      <c r="M40" s="4"/>
      <c r="N40" s="4"/>
      <c r="O40" s="4"/>
      <c r="P40" s="4"/>
      <c r="Q40" s="46"/>
      <c r="R40" s="46"/>
      <c r="T40" s="4"/>
      <c r="U40" s="4"/>
    </row>
  </sheetData>
  <mergeCells count="1">
    <mergeCell ref="A1:C1"/>
  </mergeCells>
  <conditionalFormatting sqref="A1:A1048576">
    <cfRule type="duplicateValues" dxfId="3" priority="1"/>
  </conditionalFormatting>
  <conditionalFormatting sqref="A2:A31">
    <cfRule type="duplicateValues" dxfId="2" priority="14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9FA9-2F4E-41C5-AA39-B2048C94F582}">
  <dimension ref="A1:U40"/>
  <sheetViews>
    <sheetView topLeftCell="A26" zoomScale="90" zoomScaleNormal="90" workbookViewId="0">
      <selection activeCell="D43" sqref="D43"/>
    </sheetView>
  </sheetViews>
  <sheetFormatPr baseColWidth="10" defaultColWidth="9.1640625" defaultRowHeight="18"/>
  <cols>
    <col min="1" max="1" width="11.5" style="4" customWidth="1"/>
    <col min="2" max="2" width="60.1640625" style="4" customWidth="1"/>
    <col min="3" max="3" width="13.33203125" style="4" customWidth="1"/>
    <col min="4" max="4" width="11.6640625" style="4" customWidth="1"/>
    <col min="5" max="5" width="11.6640625" style="4" bestFit="1" customWidth="1"/>
    <col min="6" max="6" width="10.6640625" style="4" customWidth="1"/>
    <col min="7" max="7" width="10.83203125" style="4" customWidth="1"/>
    <col min="8" max="8" width="10" style="4" customWidth="1"/>
    <col min="9" max="10" width="10.1640625" style="4" customWidth="1"/>
    <col min="11" max="11" width="10.6640625" style="4" customWidth="1"/>
    <col min="12" max="12" width="10.83203125" style="4" customWidth="1"/>
    <col min="13" max="13" width="12" style="4" customWidth="1"/>
    <col min="14" max="16" width="10.5" style="4" customWidth="1"/>
    <col min="17" max="17" width="14.5" style="46" customWidth="1"/>
    <col min="18" max="18" width="16.5" style="46" customWidth="1"/>
    <col min="19" max="19" width="21.5" style="25" customWidth="1"/>
    <col min="20" max="16384" width="9.1640625" style="4"/>
  </cols>
  <sheetData>
    <row r="1" spans="1:19" ht="59.25" customHeight="1">
      <c r="A1" s="87" t="s">
        <v>86</v>
      </c>
      <c r="B1" s="87"/>
      <c r="C1" s="87"/>
      <c r="D1" s="2">
        <f>'[1]Daily Expense on Dec-2025'!$T$41</f>
        <v>586.00000000000011</v>
      </c>
      <c r="E1" s="3"/>
      <c r="Q1" s="5" t="s">
        <v>0</v>
      </c>
      <c r="R1" s="6" t="s">
        <v>1</v>
      </c>
      <c r="S1" s="7" t="s">
        <v>2</v>
      </c>
    </row>
    <row r="2" spans="1:19" ht="23.25" customHeight="1">
      <c r="A2" s="8">
        <v>46143</v>
      </c>
      <c r="B2" s="9" t="s">
        <v>8</v>
      </c>
      <c r="C2" s="10">
        <v>0</v>
      </c>
      <c r="D2" s="11"/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41">
        <v>0</v>
      </c>
      <c r="R2" s="40">
        <f>SUM(E2:Q2)</f>
        <v>0</v>
      </c>
      <c r="S2" s="13">
        <f>D1+R2</f>
        <v>586.00000000000011</v>
      </c>
    </row>
    <row r="3" spans="1:19" ht="21.75" customHeight="1">
      <c r="A3" s="8">
        <v>46144</v>
      </c>
      <c r="B3" s="14" t="s">
        <v>3</v>
      </c>
      <c r="C3" s="10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42">
        <v>0</v>
      </c>
      <c r="R3" s="43">
        <f>SUM(E3:P3)</f>
        <v>0</v>
      </c>
      <c r="S3" s="15">
        <f>S2+R3</f>
        <v>586.00000000000011</v>
      </c>
    </row>
    <row r="4" spans="1:19" ht="21.75" customHeight="1">
      <c r="A4" s="8">
        <v>46145</v>
      </c>
      <c r="B4" s="14" t="s">
        <v>3</v>
      </c>
      <c r="C4" s="10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42">
        <v>0</v>
      </c>
      <c r="R4" s="43">
        <f>SUM(E4:P4)</f>
        <v>0</v>
      </c>
      <c r="S4" s="15">
        <f>S3+R4</f>
        <v>586.00000000000011</v>
      </c>
    </row>
    <row r="5" spans="1:19" ht="21.75" customHeight="1">
      <c r="A5" s="8">
        <v>46146</v>
      </c>
      <c r="B5" s="14" t="s">
        <v>3</v>
      </c>
      <c r="C5" s="16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42">
        <v>0</v>
      </c>
      <c r="R5" s="43">
        <f>SUM(E5:L5)</f>
        <v>0</v>
      </c>
      <c r="S5" s="15">
        <f>S4+R5</f>
        <v>586.00000000000011</v>
      </c>
    </row>
    <row r="6" spans="1:19" ht="21.75" customHeight="1">
      <c r="A6" s="8">
        <v>46147</v>
      </c>
      <c r="B6" s="14" t="s">
        <v>3</v>
      </c>
      <c r="C6" s="16">
        <v>620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42">
        <v>0</v>
      </c>
      <c r="R6" s="43">
        <f>SUM(E6:L6)</f>
        <v>0</v>
      </c>
      <c r="S6" s="15">
        <f>S5+R6</f>
        <v>586.00000000000011</v>
      </c>
    </row>
    <row r="7" spans="1:19" ht="21.75" customHeight="1">
      <c r="A7" s="8">
        <v>46148</v>
      </c>
      <c r="B7" s="14" t="s">
        <v>4</v>
      </c>
      <c r="C7" s="16">
        <v>0</v>
      </c>
      <c r="D7" s="17"/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42">
        <v>0</v>
      </c>
      <c r="R7" s="43">
        <v>0</v>
      </c>
      <c r="S7" s="15">
        <f>S6+Q7</f>
        <v>586.00000000000011</v>
      </c>
    </row>
    <row r="8" spans="1:19" ht="21.75" customHeight="1">
      <c r="A8" s="8">
        <v>46149</v>
      </c>
      <c r="B8" s="18" t="s">
        <v>3</v>
      </c>
      <c r="C8" s="19">
        <f t="shared" ref="C8:C31" si="0">Q8</f>
        <v>0</v>
      </c>
      <c r="D8" s="20"/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42">
        <v>0</v>
      </c>
      <c r="R8" s="43">
        <f>SUM(E8:L8)</f>
        <v>0</v>
      </c>
      <c r="S8" s="15">
        <f>S7+R8</f>
        <v>586.00000000000011</v>
      </c>
    </row>
    <row r="9" spans="1:19" ht="21.75" customHeight="1">
      <c r="A9" s="8">
        <v>46150</v>
      </c>
      <c r="B9" s="18" t="s">
        <v>3</v>
      </c>
      <c r="C9" s="19">
        <f t="shared" si="0"/>
        <v>0</v>
      </c>
      <c r="D9" s="20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42">
        <f>SUM(E9:P9)</f>
        <v>0</v>
      </c>
      <c r="R9" s="43">
        <v>0</v>
      </c>
      <c r="S9" s="15">
        <f>S8+Q9</f>
        <v>586.00000000000011</v>
      </c>
    </row>
    <row r="10" spans="1:19" ht="21.75" customHeight="1">
      <c r="A10" s="8">
        <v>46151</v>
      </c>
      <c r="B10" s="9" t="s">
        <v>3</v>
      </c>
      <c r="C10" s="21">
        <v>0</v>
      </c>
      <c r="D10" s="20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42">
        <v>0</v>
      </c>
      <c r="R10" s="43">
        <f>SUM(E10:N10)</f>
        <v>0</v>
      </c>
      <c r="S10" s="15">
        <f>S9+R10</f>
        <v>586.00000000000011</v>
      </c>
    </row>
    <row r="11" spans="1:19" ht="21.75" customHeight="1">
      <c r="A11" s="8">
        <v>46152</v>
      </c>
      <c r="B11" s="9" t="s">
        <v>5</v>
      </c>
      <c r="C11" s="10">
        <v>943</v>
      </c>
      <c r="D11" s="20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42">
        <v>0</v>
      </c>
      <c r="R11" s="43">
        <f>SUM(E11:N11)</f>
        <v>0</v>
      </c>
      <c r="S11" s="15">
        <f>S10+R11</f>
        <v>586.00000000000011</v>
      </c>
    </row>
    <row r="12" spans="1:19" ht="21.75" customHeight="1">
      <c r="A12" s="8">
        <v>46153</v>
      </c>
      <c r="B12" s="9" t="s">
        <v>3</v>
      </c>
      <c r="C12" s="10">
        <v>0</v>
      </c>
      <c r="D12" s="22"/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42">
        <v>0</v>
      </c>
      <c r="R12" s="43">
        <f>SUM(E12:N12)</f>
        <v>0</v>
      </c>
      <c r="S12" s="15">
        <f>S11+R12</f>
        <v>586.00000000000011</v>
      </c>
    </row>
    <row r="13" spans="1:19" ht="20.25" customHeight="1">
      <c r="A13" s="8">
        <v>46154</v>
      </c>
      <c r="B13" s="9" t="s">
        <v>3</v>
      </c>
      <c r="C13" s="10">
        <f t="shared" si="0"/>
        <v>0</v>
      </c>
      <c r="D13" s="23"/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44">
        <f>SUM(E13:P13)</f>
        <v>0</v>
      </c>
      <c r="R13" s="43">
        <v>0</v>
      </c>
      <c r="S13" s="15">
        <f>S12+Q13</f>
        <v>586.00000000000011</v>
      </c>
    </row>
    <row r="14" spans="1:19" ht="20.25" customHeight="1">
      <c r="A14" s="8">
        <v>46155</v>
      </c>
      <c r="B14" s="9" t="s">
        <v>3</v>
      </c>
      <c r="C14" s="10">
        <f t="shared" si="0"/>
        <v>0</v>
      </c>
      <c r="D14" s="23"/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44">
        <v>0</v>
      </c>
      <c r="R14" s="43">
        <f>SUM(E14:P14)</f>
        <v>0</v>
      </c>
      <c r="S14" s="15">
        <f>S13+R14</f>
        <v>586.00000000000011</v>
      </c>
    </row>
    <row r="15" spans="1:19" ht="20.25" customHeight="1">
      <c r="A15" s="8">
        <v>46156</v>
      </c>
      <c r="B15" s="66" t="s">
        <v>69</v>
      </c>
      <c r="C15" s="67">
        <v>-200</v>
      </c>
      <c r="D15" s="23"/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44">
        <v>0</v>
      </c>
      <c r="R15" s="43">
        <v>0</v>
      </c>
      <c r="S15" s="15">
        <f>S14+Q15</f>
        <v>586.00000000000011</v>
      </c>
    </row>
    <row r="16" spans="1:19" ht="20.25" customHeight="1">
      <c r="A16" s="8">
        <v>46157</v>
      </c>
      <c r="B16" s="66" t="s">
        <v>69</v>
      </c>
      <c r="C16" s="67">
        <v>0</v>
      </c>
      <c r="D16" s="23"/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44">
        <v>0</v>
      </c>
      <c r="R16" s="43">
        <f>SUM(E16:P16)</f>
        <v>0</v>
      </c>
      <c r="S16" s="15">
        <f>S15+R16</f>
        <v>586.00000000000011</v>
      </c>
    </row>
    <row r="17" spans="1:21" ht="20.25" customHeight="1">
      <c r="A17" s="8">
        <v>46158</v>
      </c>
      <c r="B17" s="66" t="s">
        <v>69</v>
      </c>
      <c r="C17" s="67">
        <f t="shared" si="0"/>
        <v>0</v>
      </c>
      <c r="D17" s="23"/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44">
        <v>0</v>
      </c>
      <c r="R17" s="45">
        <f>SUM(E17:I17)+J17+K17+L17+M17+N17</f>
        <v>0</v>
      </c>
      <c r="S17" s="15">
        <f>S16+R17</f>
        <v>586.00000000000011</v>
      </c>
      <c r="U17" s="17"/>
    </row>
    <row r="18" spans="1:21" ht="20.25" customHeight="1">
      <c r="A18" s="8">
        <v>46159</v>
      </c>
      <c r="B18" s="9" t="s">
        <v>3</v>
      </c>
      <c r="C18" s="10">
        <f t="shared" si="0"/>
        <v>0</v>
      </c>
      <c r="D18" s="23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44">
        <f>SUM(E18:P18)</f>
        <v>0</v>
      </c>
      <c r="R18" s="45">
        <v>0</v>
      </c>
      <c r="S18" s="15">
        <f>S17+Q18</f>
        <v>586.00000000000011</v>
      </c>
      <c r="U18" s="17"/>
    </row>
    <row r="19" spans="1:21" ht="20.25" customHeight="1">
      <c r="A19" s="8">
        <v>46160</v>
      </c>
      <c r="B19" s="9" t="s">
        <v>3</v>
      </c>
      <c r="C19" s="10">
        <f t="shared" si="0"/>
        <v>0</v>
      </c>
      <c r="D19" s="24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44">
        <v>0</v>
      </c>
      <c r="R19" s="45">
        <f>SUM(E19:I19)+J19+K19+L19+M19+N19</f>
        <v>0</v>
      </c>
      <c r="S19" s="15">
        <f>S18+R19</f>
        <v>586.00000000000011</v>
      </c>
    </row>
    <row r="20" spans="1:21" ht="20.25" customHeight="1">
      <c r="A20" s="8">
        <v>46161</v>
      </c>
      <c r="B20" s="9" t="s">
        <v>3</v>
      </c>
      <c r="C20" s="10">
        <f t="shared" si="0"/>
        <v>0</v>
      </c>
      <c r="D20" s="24"/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44">
        <f>SUM(E20:P20)</f>
        <v>0</v>
      </c>
      <c r="R20" s="45">
        <v>0</v>
      </c>
      <c r="S20" s="15">
        <f>S19+Q20</f>
        <v>586.00000000000011</v>
      </c>
    </row>
    <row r="21" spans="1:21" ht="20.25" customHeight="1">
      <c r="A21" s="8">
        <v>46162</v>
      </c>
      <c r="B21" s="9" t="s">
        <v>3</v>
      </c>
      <c r="C21" s="10">
        <v>0</v>
      </c>
      <c r="D21" s="24"/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44">
        <v>0</v>
      </c>
      <c r="R21" s="45">
        <f>SUM(E21:I21)+J21+K21+L21+M21+N21</f>
        <v>0</v>
      </c>
      <c r="S21" s="15">
        <f>S20+R21</f>
        <v>586.00000000000011</v>
      </c>
    </row>
    <row r="22" spans="1:21" ht="20.25" customHeight="1">
      <c r="A22" s="8">
        <v>46163</v>
      </c>
      <c r="B22" s="9" t="s">
        <v>3</v>
      </c>
      <c r="C22" s="10">
        <f t="shared" si="0"/>
        <v>0</v>
      </c>
      <c r="D22" s="24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44">
        <v>0</v>
      </c>
      <c r="R22" s="45">
        <f>SUM(E22:I22)+J22+K22+L22+M22+N22</f>
        <v>0</v>
      </c>
      <c r="S22" s="15">
        <f>S21+R22</f>
        <v>586.00000000000011</v>
      </c>
    </row>
    <row r="23" spans="1:21" ht="20.25" customHeight="1">
      <c r="A23" s="8">
        <v>46164</v>
      </c>
      <c r="B23" s="9" t="s">
        <v>3</v>
      </c>
      <c r="C23" s="10">
        <f t="shared" si="0"/>
        <v>0</v>
      </c>
      <c r="D23" s="24"/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44">
        <v>0</v>
      </c>
      <c r="R23" s="45">
        <f>SUM(E23:I23)+J23+K23+L23+M23+N23</f>
        <v>0</v>
      </c>
      <c r="S23" s="15">
        <f>S22+R23</f>
        <v>586.00000000000011</v>
      </c>
    </row>
    <row r="24" spans="1:21" ht="20.25" customHeight="1">
      <c r="A24" s="8">
        <v>46165</v>
      </c>
      <c r="B24" s="9" t="s">
        <v>3</v>
      </c>
      <c r="C24" s="10">
        <f t="shared" si="0"/>
        <v>0</v>
      </c>
      <c r="D24" s="24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44">
        <v>0</v>
      </c>
      <c r="R24" s="45">
        <f>SUM(E24:I24)+J24+K24+L24+M24+N24</f>
        <v>0</v>
      </c>
      <c r="S24" s="15">
        <f>S23+R24</f>
        <v>586.00000000000011</v>
      </c>
    </row>
    <row r="25" spans="1:21" ht="20.25" customHeight="1">
      <c r="A25" s="8">
        <v>46166</v>
      </c>
      <c r="B25" s="9" t="s">
        <v>3</v>
      </c>
      <c r="C25" s="10">
        <v>943</v>
      </c>
      <c r="D25" s="24"/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44">
        <f>SUM(E25:P25)</f>
        <v>0</v>
      </c>
      <c r="R25" s="45">
        <v>0</v>
      </c>
      <c r="S25" s="15">
        <f>S24+Q25</f>
        <v>586.00000000000011</v>
      </c>
    </row>
    <row r="26" spans="1:21" ht="20.25" customHeight="1">
      <c r="A26" s="8">
        <v>46167</v>
      </c>
      <c r="B26" s="9" t="s">
        <v>3</v>
      </c>
      <c r="C26" s="10">
        <v>-419</v>
      </c>
      <c r="D26" s="24"/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44">
        <v>0</v>
      </c>
      <c r="R26" s="45">
        <f>SUM(E26:I26)+J26+K26+L26+M26+N26</f>
        <v>0</v>
      </c>
      <c r="S26" s="15">
        <f>S25+R26</f>
        <v>586.00000000000011</v>
      </c>
    </row>
    <row r="27" spans="1:21" ht="20.25" customHeight="1">
      <c r="A27" s="8">
        <v>46168</v>
      </c>
      <c r="B27" s="9" t="s">
        <v>6</v>
      </c>
      <c r="C27" s="10">
        <v>-100</v>
      </c>
      <c r="D27" s="24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44">
        <v>0</v>
      </c>
      <c r="R27" s="45">
        <f>SUM(E27:I27)+J27+K27+L27+M27+N27</f>
        <v>0</v>
      </c>
      <c r="S27" s="15">
        <f>S26+R27</f>
        <v>586.00000000000011</v>
      </c>
    </row>
    <row r="28" spans="1:21" ht="20.25" customHeight="1">
      <c r="A28" s="8">
        <v>46169</v>
      </c>
      <c r="B28" s="9" t="s">
        <v>3</v>
      </c>
      <c r="C28" s="10">
        <v>209.5</v>
      </c>
      <c r="D28" s="24"/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44">
        <f>SUM(E28:N28)</f>
        <v>0</v>
      </c>
      <c r="R28" s="45">
        <v>0</v>
      </c>
      <c r="S28" s="15">
        <f>S27+Q28</f>
        <v>586.00000000000011</v>
      </c>
    </row>
    <row r="29" spans="1:21" ht="20.25" customHeight="1">
      <c r="A29" s="8">
        <v>46170</v>
      </c>
      <c r="B29" s="9" t="s">
        <v>3</v>
      </c>
      <c r="C29" s="10">
        <f t="shared" si="0"/>
        <v>0</v>
      </c>
      <c r="D29" s="24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44">
        <v>0</v>
      </c>
      <c r="R29" s="45">
        <f>SUM(E29:P29)</f>
        <v>0</v>
      </c>
      <c r="S29" s="15">
        <f>S28+R29</f>
        <v>586.00000000000011</v>
      </c>
    </row>
    <row r="30" spans="1:21" ht="20.25" customHeight="1">
      <c r="A30" s="8">
        <v>46171</v>
      </c>
      <c r="B30" s="9" t="s">
        <v>3</v>
      </c>
      <c r="C30" s="10">
        <f t="shared" si="0"/>
        <v>0</v>
      </c>
      <c r="D30" s="24"/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44">
        <v>0</v>
      </c>
      <c r="R30" s="45">
        <f>SUM(E30:I30)+J30+K30+L30+M30+N30</f>
        <v>0</v>
      </c>
      <c r="S30" s="15">
        <f>S29+R30</f>
        <v>586.00000000000011</v>
      </c>
    </row>
    <row r="31" spans="1:21" ht="20.25" customHeight="1">
      <c r="A31" s="8">
        <v>46172</v>
      </c>
      <c r="B31" s="9" t="s">
        <v>3</v>
      </c>
      <c r="C31" s="10">
        <f t="shared" si="0"/>
        <v>0</v>
      </c>
      <c r="D31" s="24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44">
        <v>0</v>
      </c>
      <c r="R31" s="45">
        <f>SUM(E31:I31)+J31+K31+L31+M31+N31</f>
        <v>0</v>
      </c>
      <c r="S31" s="15">
        <f>S30+R31</f>
        <v>586.00000000000011</v>
      </c>
    </row>
    <row r="32" spans="1:21" ht="20.25" customHeight="1">
      <c r="A32" s="8">
        <v>46173</v>
      </c>
      <c r="B32" s="9" t="s">
        <v>3</v>
      </c>
      <c r="C32" s="10">
        <f t="shared" ref="C32" si="1">Q32</f>
        <v>0</v>
      </c>
      <c r="D32" s="24"/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44">
        <v>0</v>
      </c>
      <c r="R32" s="45">
        <f>SUM(E32:I32)+J32+K32+L32+M32+N32</f>
        <v>0</v>
      </c>
      <c r="S32" s="15">
        <f>S31+R32</f>
        <v>586.00000000000011</v>
      </c>
    </row>
    <row r="33" spans="1:21" s="25" customFormat="1">
      <c r="A33" s="8"/>
      <c r="B33" s="4"/>
      <c r="C33" s="4"/>
      <c r="D33" s="4"/>
      <c r="E33" s="4"/>
      <c r="F33" s="4"/>
      <c r="G33" s="4"/>
      <c r="H33" s="4"/>
      <c r="I33" s="17"/>
      <c r="J33" s="17"/>
      <c r="K33" s="17"/>
      <c r="L33" s="4"/>
      <c r="M33" s="4"/>
      <c r="N33" s="4"/>
      <c r="O33" s="4"/>
      <c r="P33" s="4"/>
      <c r="Q33" s="46"/>
      <c r="R33" s="47"/>
      <c r="T33" s="4"/>
      <c r="U33" s="4"/>
    </row>
    <row r="34" spans="1:21" s="25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6"/>
      <c r="R34" s="47"/>
      <c r="T34" s="4"/>
      <c r="U34" s="4"/>
    </row>
    <row r="40" spans="1:21" s="25" customFormat="1">
      <c r="A40" s="4"/>
      <c r="B40" s="4"/>
      <c r="C40" s="4"/>
      <c r="D40" s="4"/>
      <c r="E40" s="4"/>
      <c r="F40" s="4"/>
      <c r="G40" s="4"/>
      <c r="H40" s="4"/>
      <c r="I40" s="4"/>
      <c r="J40" s="4"/>
      <c r="K40" s="17"/>
      <c r="L40" s="4"/>
      <c r="M40" s="4"/>
      <c r="N40" s="4"/>
      <c r="O40" s="4"/>
      <c r="P40" s="4"/>
      <c r="Q40" s="46"/>
      <c r="R40" s="46"/>
      <c r="T40" s="4"/>
      <c r="U40" s="4"/>
    </row>
  </sheetData>
  <mergeCells count="1">
    <mergeCell ref="A1:C1"/>
  </mergeCells>
  <conditionalFormatting sqref="A1:A1048576">
    <cfRule type="duplicateValues" dxfId="1" priority="1"/>
  </conditionalFormatting>
  <conditionalFormatting sqref="A2:A33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Break Down List for Jee</vt:lpstr>
      <vt:lpstr>Daily Expense on Jan-2026</vt:lpstr>
      <vt:lpstr>Daily Expense on Feb-2026</vt:lpstr>
      <vt:lpstr>Daily Expense on Mar-2026</vt:lpstr>
      <vt:lpstr>Daily Expense on Apr-2026</vt:lpstr>
      <vt:lpstr>Daily Expense on May-2026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Cambodia Airways</dc:creator>
  <cp:lastModifiedBy>Oem Ramon</cp:lastModifiedBy>
  <dcterms:created xsi:type="dcterms:W3CDTF">2025-11-07T03:54:48Z</dcterms:created>
  <dcterms:modified xsi:type="dcterms:W3CDTF">2026-02-15T06:52:20Z</dcterms:modified>
</cp:coreProperties>
</file>